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Hipótesis" sheetId="2" state="visible" r:id="rId2"/>
    <sheet xmlns:r="http://schemas.openxmlformats.org/officeDocument/2006/relationships" name="Planes" sheetId="3" state="visible" r:id="rId3"/>
    <sheet xmlns:r="http://schemas.openxmlformats.org/officeDocument/2006/relationships" name="Proyección de ventas" sheetId="4" state="visible" r:id="rId4"/>
    <sheet xmlns:r="http://schemas.openxmlformats.org/officeDocument/2006/relationships" name="Modelo de ingresos" sheetId="5" state="visible" r:id="rId5"/>
    <sheet xmlns:r="http://schemas.openxmlformats.org/officeDocument/2006/relationships" name="Modelo de Egresos" sheetId="6" state="visible" r:id="rId6"/>
    <sheet xmlns:r="http://schemas.openxmlformats.org/officeDocument/2006/relationships" name="Costos Fijos" sheetId="7" state="visible" r:id="rId7"/>
    <sheet xmlns:r="http://schemas.openxmlformats.org/officeDocument/2006/relationships" name="Costos Variables" sheetId="8" state="visible" r:id="rId8"/>
    <sheet xmlns:r="http://schemas.openxmlformats.org/officeDocument/2006/relationships" name="RRHH" sheetId="9" state="visible" r:id="rId9"/>
  </sheets>
  <definedNames>
    <definedName name="_xlnm.Print_Titles" localSheetId="3">'Proyección de ventas'!$1:$4,'Proyección de ventas'!$A:$B</definedName>
    <definedName name="_xlnm.Print_Titles" localSheetId="4">'Modelo de ingresos'!$1:$4,'Modelo de ingresos'!$A:$B</definedName>
    <definedName name="_xlnm.Print_Titles" localSheetId="5">'Modelo de Egresos'!$1:$4,'Modelo de Egresos'!$A:$B</definedName>
    <definedName name="_xlnm.Print_Titles" localSheetId="6">'Costos Fijos'!$1:$4,'Costos Fijos'!$A:$B</definedName>
    <definedName name="_xlnm.Print_Titles" localSheetId="7">'Costos Variables'!$1:$4,'Costos Variables'!$A:$B</definedName>
    <definedName name="_xlnm.Print_Titles" localSheetId="8">'RRHH'!$1:$4,'RRHH'!$A:$B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6">
    <font>
      <name val="Calibri"/>
      <family val="2"/>
      <color theme="1"/>
      <sz val="11"/>
      <scheme val="minor"/>
    </font>
    <font>
      <name val="Calibri"/>
      <b val="1"/>
      <color rgb="001F4E5F"/>
      <sz val="18"/>
    </font>
    <font>
      <name val="Calibri"/>
      <color rgb="00595959"/>
      <sz val="11"/>
    </font>
    <font>
      <name val="Calibri"/>
      <i val="1"/>
      <color rgb="00808080"/>
      <sz val="9"/>
    </font>
    <font>
      <name val="Calibri"/>
      <b val="1"/>
      <color rgb="007F6000"/>
      <sz val="10"/>
    </font>
    <font>
      <name val="Calibri"/>
      <b val="1"/>
      <color rgb="001F4E5F"/>
      <sz val="11"/>
    </font>
    <font>
      <name val="Calibri"/>
      <color rgb="000563C1"/>
      <sz val="10"/>
      <u val="single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F4761"/>
      <sz val="18"/>
    </font>
    <font>
      <name val="Calibri"/>
      <b val="1"/>
      <color rgb="000F4761"/>
      <sz val="11"/>
    </font>
    <font>
      <name val="Calibri"/>
      <b val="1"/>
      <color rgb="000F476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5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0F4761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vertical="center" indent="1"/>
    </xf>
    <xf numFmtId="0" fontId="9" fillId="4" borderId="0" applyAlignment="1" pivotButton="0" quotePrefix="0" xfId="0">
      <alignment horizontal="center"/>
    </xf>
    <xf numFmtId="0" fontId="9" fillId="4" borderId="0" pivotButton="0" quotePrefix="0" xfId="0"/>
    <xf numFmtId="0" fontId="10" fillId="0" borderId="0" pivotButton="0" quotePrefix="0" xfId="0"/>
    <xf numFmtId="164" fontId="10" fillId="2" borderId="1" pivotButton="0" quotePrefix="0" xfId="0"/>
    <xf numFmtId="3" fontId="10" fillId="2" borderId="1" pivotButton="0" quotePrefix="0" xfId="0"/>
    <xf numFmtId="165" fontId="10" fillId="2" borderId="1" pivotButton="0" quotePrefix="0" xfId="0"/>
    <xf numFmtId="3" fontId="9" fillId="0" borderId="0" pivotButton="0" quotePrefix="0" xfId="0"/>
    <xf numFmtId="0" fontId="9" fillId="0" borderId="0" pivotButton="0" quotePrefix="0" xfId="0"/>
    <xf numFmtId="10" fontId="9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164" fontId="9" fillId="0" borderId="0" pivotButton="0" quotePrefix="0" xfId="0"/>
    <xf numFmtId="0" fontId="3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3" fontId="10" fillId="0" borderId="0" pivotButton="0" quotePrefix="0" xfId="0"/>
    <xf numFmtId="3" fontId="9" fillId="5" borderId="0" pivotButton="0" quotePrefix="0" xfId="0"/>
    <xf numFmtId="165" fontId="10" fillId="0" borderId="0" pivotButton="0" quotePrefix="0" xfId="0"/>
    <xf numFmtId="165" fontId="9" fillId="5" borderId="0" pivotButton="0" quotePrefix="0" xfId="0"/>
    <xf numFmtId="165" fontId="9" fillId="0" borderId="0" pivotButton="0" quotePrefix="0" xfId="0"/>
    <xf numFmtId="3" fontId="0" fillId="0" borderId="0" pivotButton="0" quotePrefix="0" xfId="0"/>
    <xf numFmtId="164" fontId="10" fillId="0" borderId="0" pivotButton="0" quotePrefix="0" xfId="0"/>
    <xf numFmtId="10" fontId="10" fillId="2" borderId="1" pivotButton="0" quotePrefix="0" xfId="0"/>
    <xf numFmtId="0" fontId="9" fillId="4" borderId="1" pivotButton="0" quotePrefix="0" xfId="0"/>
    <xf numFmtId="0" fontId="3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2" fontId="10" fillId="2" borderId="1" pivotButton="0" quotePrefix="0" xfId="0"/>
    <xf numFmtId="0" fontId="11" fillId="3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7" fillId="6" borderId="0" applyAlignment="1" pivotButton="0" quotePrefix="0" xfId="0">
      <alignment vertical="center" indent="1"/>
    </xf>
    <xf numFmtId="0" fontId="15" fillId="7" borderId="0" applyAlignment="1" pivotButton="0" quotePrefix="0" xfId="0">
      <alignment horizontal="center"/>
    </xf>
    <xf numFmtId="0" fontId="15" fillId="7" borderId="0" pivotButton="0" quotePrefix="0" xfId="0"/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Hip&#243;tesis'!A1" TargetMode="External" Id="rId1"/><Relationship Type="http://schemas.openxmlformats.org/officeDocument/2006/relationships/hyperlink" Target="#'Planes'!A1" TargetMode="External" Id="rId2"/><Relationship Type="http://schemas.openxmlformats.org/officeDocument/2006/relationships/hyperlink" Target="#'Proyecci&#243;n de ventas'!A1" TargetMode="External" Id="rId3"/><Relationship Type="http://schemas.openxmlformats.org/officeDocument/2006/relationships/hyperlink" Target="#'Modelo de ingresos'!A1" TargetMode="External" Id="rId4"/><Relationship Type="http://schemas.openxmlformats.org/officeDocument/2006/relationships/hyperlink" Target="#'Modelo de Egresos'!A1" TargetMode="External" Id="rId5"/><Relationship Type="http://schemas.openxmlformats.org/officeDocument/2006/relationships/hyperlink" Target="#'Costos Fijos'!A1" TargetMode="External" Id="rId6"/><Relationship Type="http://schemas.openxmlformats.org/officeDocument/2006/relationships/hyperlink" Target="#'Costos Variables'!A1" TargetMode="External" Id="rId7"/><Relationship Type="http://schemas.openxmlformats.org/officeDocument/2006/relationships/hyperlink" Target="#'RRHH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icio'!A1" TargetMode="External" Id="rId1"/></Relationships>
</file>

<file path=xl/worksheets/sheet1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0" customWidth="1" min="3" max="3"/>
  </cols>
  <sheetData>
    <row r="1"/>
    <row r="2">
      <c r="B2" s="38" t="inlineStr">
        <is>
          <t>PRESUPUESTO FINANCIERO — PredictIT · Entrega 1</t>
        </is>
      </c>
    </row>
    <row r="3"/>
    <row r="4">
      <c r="B4" s="2" t="inlineStr">
        <is>
          <t>Sistema de mantenimiento predictivo de equipos informáticos</t>
        </is>
      </c>
    </row>
    <row r="5">
      <c r="B5" s="3" t="inlineStr">
        <is>
          <t>Trabajo Final de Ingeniería · UAI · Pettini, Patricio Ezequiel — Legajo B00072710-T1</t>
        </is>
      </c>
    </row>
    <row r="6">
      <c r="B6" s="3" t="inlineStr">
        <is>
          <t>Horizonte: 2027 a 2030, mensual · Generado el 07/09/2026</t>
        </is>
      </c>
    </row>
    <row r="7"/>
    <row r="8">
      <c r="B8" s="4" t="inlineStr">
        <is>
          <t>Las celdas amarillas son supuestos que se pueden cambiar. Todo lo demás se calcula.</t>
        </is>
      </c>
    </row>
    <row r="9"/>
    <row r="10">
      <c r="B10" s="39" t="inlineStr">
        <is>
          <t>Contenido</t>
        </is>
      </c>
    </row>
    <row r="11">
      <c r="B11" s="6" t="inlineStr">
        <is>
          <t>Hipótesis</t>
        </is>
      </c>
      <c r="C11" s="3" t="inlineStr">
        <is>
          <t>Supuestos macro, mercado meta, embudo comercial y retención</t>
        </is>
      </c>
    </row>
    <row r="12">
      <c r="B12" s="6" t="inlineStr">
        <is>
          <t>Planes</t>
        </is>
      </c>
      <c r="C12" s="3" t="inlineStr">
        <is>
          <t>Líneas de servicio: precio, equipos incluidos y costo variable unitario</t>
        </is>
      </c>
    </row>
    <row r="13">
      <c r="B13" s="6" t="inlineStr">
        <is>
          <t>Proyección de ventas</t>
        </is>
      </c>
      <c r="C13" s="3" t="inlineStr">
        <is>
          <t>Altas, bajas y base activa de clientes por línea, mes a mes</t>
        </is>
      </c>
    </row>
    <row r="14">
      <c r="B14" s="6" t="inlineStr">
        <is>
          <t>Modelo de ingresos</t>
        </is>
      </c>
      <c r="C14" s="3" t="inlineStr">
        <is>
          <t>Facturación por línea de servicio</t>
        </is>
      </c>
    </row>
    <row r="15">
      <c r="B15" s="6" t="inlineStr">
        <is>
          <t>Modelo de Egresos</t>
        </is>
      </c>
      <c r="C15" s="3" t="inlineStr">
        <is>
          <t>Consolidado de las tres estructuras de costo</t>
        </is>
      </c>
    </row>
    <row r="16">
      <c r="B16" s="6" t="inlineStr">
        <is>
          <t>Costos Fijos</t>
        </is>
      </c>
      <c r="C16" s="3" t="inlineStr">
        <is>
          <t>Costos que no dependen del volumen</t>
        </is>
      </c>
    </row>
    <row r="17">
      <c r="B17" s="6" t="inlineStr">
        <is>
          <t>Costos Variables</t>
        </is>
      </c>
      <c r="C17" s="3" t="inlineStr">
        <is>
          <t>Costos que se mueven con cada cliente</t>
        </is>
      </c>
    </row>
    <row r="18">
      <c r="B18" s="6" t="inlineStr">
        <is>
          <t>RRHH</t>
        </is>
      </c>
      <c r="C18" s="3" t="inlineStr">
        <is>
          <t>Sueldos, cargas sociales y evolución de la plantilla</t>
        </is>
      </c>
    </row>
    <row r="19">
      <c r="B19" s="6" t="n"/>
      <c r="C19" s="3" t="n"/>
    </row>
    <row r="20">
      <c r="B20" s="40" t="inlineStr">
        <is>
          <t>Primera entrega de negocio: llega hasta los costos de recursos humanos.</t>
        </is>
      </c>
      <c r="C20" s="3" t="n"/>
    </row>
    <row r="21">
      <c r="B21" s="6" t="n"/>
      <c r="C21" s="3" t="n"/>
    </row>
    <row r="22">
      <c r="B22" s="6" t="n"/>
      <c r="C22" s="3" t="n"/>
    </row>
    <row r="23">
      <c r="B23" s="6" t="n"/>
      <c r="C23" s="3" t="n"/>
    </row>
    <row r="24">
      <c r="B24" s="6" t="n"/>
      <c r="C24" s="3" t="n"/>
    </row>
    <row r="25">
      <c r="B25" s="6" t="n"/>
      <c r="C25" s="3" t="n"/>
    </row>
    <row r="26">
      <c r="B26" s="6" t="n"/>
      <c r="C26" s="3" t="n"/>
    </row>
  </sheetData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</hyperlinks>
  <printOptions horizontalCentered="1"/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H4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7" t="inlineStr">
        <is>
          <t>« Inicio</t>
        </is>
      </c>
    </row>
    <row r="2" ht="24" customHeight="1">
      <c r="B2" s="41" t="inlineStr">
        <is>
          <t>HIPÓTESIS</t>
        </is>
      </c>
    </row>
    <row r="3">
      <c r="B3" s="3" t="inlineStr">
        <is>
          <t>Cada variable necesita valor, fuente y justificación. Las celdas amarillas son las que se cargan a mano.</t>
        </is>
      </c>
    </row>
    <row r="4"/>
    <row r="5"/>
    <row r="6">
      <c r="B6" s="39" t="inlineStr">
        <is>
          <t>Supuestos macroeconómicos</t>
        </is>
      </c>
    </row>
    <row r="7">
      <c r="C7" s="42" t="n">
        <v>2027</v>
      </c>
      <c r="D7" s="42" t="n">
        <v>2028</v>
      </c>
      <c r="E7" s="42" t="n">
        <v>2029</v>
      </c>
      <c r="F7" s="42" t="n">
        <v>2030</v>
      </c>
      <c r="H7" s="43" t="inlineStr">
        <is>
          <t>Fuente y justificación</t>
        </is>
      </c>
    </row>
    <row r="8">
      <c r="B8" s="11" t="inlineStr">
        <is>
          <t>Inflación anual proyectada</t>
        </is>
      </c>
      <c r="C8" s="12" t="n">
        <v>0.35</v>
      </c>
      <c r="D8" s="12" t="n">
        <v>0.25</v>
      </c>
      <c r="E8" s="12" t="n">
        <v>0.18</v>
      </c>
      <c r="F8" s="12" t="n">
        <v>0.15</v>
      </c>
      <c r="H8" s="3" t="inlineStr">
        <is>
          <t>PROVISORIO — reemplazar por el REM del BCRA citando la fecha del informe</t>
        </is>
      </c>
    </row>
    <row r="9">
      <c r="B9" s="11" t="inlineStr">
        <is>
          <t>Tipo de cambio promedio (ARS/USD)</t>
        </is>
      </c>
      <c r="C9" s="13" t="n">
        <v>1900</v>
      </c>
      <c r="D9" s="13" t="n">
        <v>2350</v>
      </c>
      <c r="E9" s="13" t="n">
        <v>2750</v>
      </c>
      <c r="F9" s="13" t="n">
        <v>3150</v>
      </c>
      <c r="H9" s="3" t="inlineStr">
        <is>
          <t>PROVISORIO — reemplazar por el REM del BCRA. Afecta la infraestructura en la nube y el servicio de IA</t>
        </is>
      </c>
    </row>
    <row r="10">
      <c r="B10" s="11" t="inlineStr">
        <is>
          <t>Tasa de interés de referencia</t>
        </is>
      </c>
      <c r="C10" s="12" t="n">
        <v>0.3</v>
      </c>
      <c r="D10" s="12" t="n">
        <v>0.22</v>
      </c>
      <c r="E10" s="12" t="n">
        <v>0.17</v>
      </c>
      <c r="F10" s="12" t="n">
        <v>0.14</v>
      </c>
      <c r="H10" s="3" t="inlineStr">
        <is>
          <t>PROVISORIO — tasa de política monetaria del BCRA</t>
        </is>
      </c>
    </row>
    <row r="11">
      <c r="B11" s="11" t="inlineStr">
        <is>
          <t>Aumento anual de precios de lista</t>
        </is>
      </c>
      <c r="C11" s="12" t="n">
        <v>0.38</v>
      </c>
      <c r="D11" s="12" t="n">
        <v>0.27</v>
      </c>
      <c r="E11" s="12" t="n">
        <v>0.2</v>
      </c>
      <c r="F11" s="12" t="n">
        <v>0.16</v>
      </c>
      <c r="H11" s="3" t="inlineStr">
        <is>
          <t>Política propia: revisión trimestral (documento, 5.3.6). Va apenas arriba de la inflación</t>
        </is>
      </c>
    </row>
    <row r="12">
      <c r="B12" s="11" t="inlineStr">
        <is>
          <t>Aumento anual de salarios</t>
        </is>
      </c>
      <c r="C12" s="12" t="n">
        <v>0.4</v>
      </c>
      <c r="D12" s="12" t="n">
        <v>0.3</v>
      </c>
      <c r="E12" s="12" t="n">
        <v>0.22</v>
      </c>
      <c r="F12" s="12" t="n">
        <v>0.18</v>
      </c>
      <c r="H12" s="3" t="inlineStr">
        <is>
          <t>Paritarias del sector. Es el costo que más pesa a partir de la Etapa E3</t>
        </is>
      </c>
    </row>
    <row r="13"/>
    <row r="14">
      <c r="B14" s="11" t="inlineStr">
        <is>
          <t>Tasa de corte para el VAN</t>
        </is>
      </c>
      <c r="C14" s="12" t="n">
        <v>0.6</v>
      </c>
      <c r="H14" s="3" t="inlineStr">
        <is>
          <t>PROVISORIO — costo de oportunidad del capital propio, nominal en pesos. Debe superar a la tasa libre de riesgo más la prima por riesgo del proyecto</t>
        </is>
      </c>
    </row>
    <row r="15">
      <c r="B15" s="11" t="inlineStr">
        <is>
          <t>Múltiplo de ingresos anuales para el valor terminal</t>
        </is>
      </c>
      <c r="C15" s="14" t="n">
        <v>1.5</v>
      </c>
      <c r="H15" s="3" t="inlineStr">
        <is>
          <t>Cuántas veces los ingresos del último año vale la cartera al cierre del horizonte. Rango de mercado para un MSP chico: 1x a 3x</t>
        </is>
      </c>
    </row>
    <row r="16"/>
    <row r="17">
      <c r="B17" s="39" t="inlineStr">
        <is>
          <t>Mercado meta</t>
        </is>
      </c>
    </row>
    <row r="18">
      <c r="B18" s="11" t="inlineStr">
        <is>
          <t>PyMEs de 5 a 50 empleados en AMBA</t>
        </is>
      </c>
      <c r="C18" s="13" t="n">
        <v>72000</v>
      </c>
      <c r="H18" s="3" t="inlineStr">
        <is>
          <t>PROVISORIO — reemplazar por Fundación Observatorio PyME / censo. Es el universo del Segmento A</t>
        </is>
      </c>
    </row>
    <row r="19">
      <c r="B19" s="11" t="inlineStr">
        <is>
          <t>% con dependencia operativa alta de sus equipos</t>
        </is>
      </c>
      <c r="C19" s="12" t="n">
        <v>0.32</v>
      </c>
      <c r="H19" s="3" t="inlineStr">
        <is>
          <t>Servicios profesionales, salud, educación privada y comercio digitalizado (documento, 4.2)</t>
        </is>
      </c>
    </row>
    <row r="20">
      <c r="B20" s="11" t="inlineStr">
        <is>
          <t>Mercado meta alcanzable</t>
        </is>
      </c>
      <c r="C20" s="15">
        <f>C18*C19</f>
        <v/>
      </c>
      <c r="H20" s="3" t="inlineStr">
        <is>
          <t>Calculado</t>
        </is>
      </c>
    </row>
    <row r="21">
      <c r="B21" s="11" t="inlineStr">
        <is>
          <t>Participación objetivo al año 4</t>
        </is>
      </c>
      <c r="C21" s="12" t="n">
        <v>0.011</v>
      </c>
      <c r="H21" s="3" t="inlineStr">
        <is>
          <t>Objetivo propio. Contrastar contra los 220 clientes del punto de equilibrio (documento, 7.7)</t>
        </is>
      </c>
    </row>
    <row r="22"/>
    <row r="23">
      <c r="B23" s="39" t="inlineStr">
        <is>
          <t>Embudo comercial</t>
        </is>
      </c>
      <c r="H23" s="3" t="inlineStr">
        <is>
          <t>Tasas de la sección 5.3.5 del documento, tomando el punto medio de cada rango</t>
        </is>
      </c>
    </row>
    <row r="24">
      <c r="B24" s="11" t="inlineStr">
        <is>
          <t>Visitas web mensuales al inicio</t>
        </is>
      </c>
      <c r="C24" s="13" t="n">
        <v>300</v>
      </c>
      <c r="H24" s="3" t="inlineStr">
        <is>
          <t>Supuesto propio de arranque</t>
        </is>
      </c>
    </row>
    <row r="25">
      <c r="B25" s="11" t="inlineStr">
        <is>
          <t>Crecimiento mensual de visitas</t>
        </is>
      </c>
      <c r="C25" s="12" t="n">
        <v>0.12</v>
      </c>
      <c r="D25" s="12" t="n">
        <v>0.08</v>
      </c>
      <c r="E25" s="12" t="n">
        <v>0.05</v>
      </c>
      <c r="F25" s="12" t="n">
        <v>0.03</v>
      </c>
      <c r="H25" s="3" t="inlineStr">
        <is>
          <t>Por año. Se desacelera: sostener 12 % mensual durante cuatro años multiplicaría las visitas por 200, que no es defendible</t>
        </is>
      </c>
    </row>
    <row r="26">
      <c r="B26" s="11" t="inlineStr">
        <is>
          <t>Visitas → leads</t>
        </is>
      </c>
      <c r="C26" s="12" t="n">
        <v>0.04</v>
      </c>
      <c r="H26" s="3" t="inlineStr">
        <is>
          <t>Documento 5.3.5: rango 3 % a 5 %</t>
        </is>
      </c>
    </row>
    <row r="27">
      <c r="B27" s="11" t="inlineStr">
        <is>
          <t>Leads → demos calificadas</t>
        </is>
      </c>
      <c r="C27" s="12" t="n">
        <v>0.4</v>
      </c>
      <c r="H27" s="3" t="inlineStr">
        <is>
          <t>Documento 5.3.5: rango 35 % a 45 %</t>
        </is>
      </c>
    </row>
    <row r="28">
      <c r="B28" s="11" t="inlineStr">
        <is>
          <t>Demos → pruebas gratuitas</t>
        </is>
      </c>
      <c r="C28" s="12" t="n">
        <v>0.6</v>
      </c>
      <c r="H28" s="3" t="inlineStr">
        <is>
          <t>Documento 5.3.5: rango 55 % a 65 %</t>
        </is>
      </c>
    </row>
    <row r="29">
      <c r="B29" s="11" t="inlineStr">
        <is>
          <t>Pruebas → cliente pago</t>
        </is>
      </c>
      <c r="C29" s="12" t="n">
        <v>0.275</v>
      </c>
      <c r="H29" s="3" t="inlineStr">
        <is>
          <t>Documento 5.3.5: rango 25 % a 30 % para el Segmento A</t>
        </is>
      </c>
    </row>
    <row r="30">
      <c r="B30" s="16" t="inlineStr">
        <is>
          <t>Conversión total visita → cliente</t>
        </is>
      </c>
      <c r="C30" s="17">
        <f>C26*C27*C28*C29</f>
        <v/>
      </c>
      <c r="H30" s="3" t="inlineStr">
        <is>
          <t>Calculado. Con 1.000 visitas mensuales da del orden de 2 a 3 clientes nuevos por mes, que es lo que proyecta el documento para la Etapa E3</t>
        </is>
      </c>
    </row>
    <row r="31"/>
    <row r="32">
      <c r="B32" s="39" t="inlineStr">
        <is>
          <t>Pilotos y canal de partners</t>
        </is>
      </c>
    </row>
    <row r="33">
      <c r="B33" s="11" t="inlineStr">
        <is>
          <t>Pilotos gratuitos en la Etapa E1</t>
        </is>
      </c>
      <c r="C33" s="13" t="n">
        <v>5</v>
      </c>
      <c r="H33" s="3" t="inlineStr">
        <is>
          <t>Documento 5.3.4</t>
        </is>
      </c>
    </row>
    <row r="34">
      <c r="B34" s="11" t="inlineStr">
        <is>
          <t>% de pilotos que convierten a plan pago</t>
        </is>
      </c>
      <c r="C34" s="12" t="n">
        <v>0.6</v>
      </c>
      <c r="H34" s="3" t="inlineStr">
        <is>
          <t>Documento 5.3.4: al menos 3 de 5</t>
        </is>
      </c>
    </row>
    <row r="35">
      <c r="B35" s="11" t="inlineStr">
        <is>
          <t>Mes en que convierten los pilotos</t>
        </is>
      </c>
      <c r="C35" s="13" t="n">
        <v>6</v>
      </c>
      <c r="H35" s="3" t="inlineStr">
        <is>
          <t>Cierre de los 90 días de piloto</t>
        </is>
      </c>
    </row>
    <row r="36">
      <c r="B36" s="11" t="inlineStr">
        <is>
          <t>Partners activos al cierre de cada año</t>
        </is>
      </c>
      <c r="C36" s="13" t="n">
        <v>3</v>
      </c>
      <c r="D36" s="13" t="n">
        <v>8</v>
      </c>
      <c r="E36" s="13" t="n">
        <v>15</v>
      </c>
      <c r="F36" s="13" t="n">
        <v>25</v>
      </c>
      <c r="H36" s="3" t="inlineStr">
        <is>
          <t>Documento 5.3.1: 3 partners operativos al mes 12</t>
        </is>
      </c>
    </row>
    <row r="37">
      <c r="B37" s="11" t="inlineStr">
        <is>
          <t>Clientes gestionados por cada partner</t>
        </is>
      </c>
      <c r="C37" s="14" t="n">
        <v>3</v>
      </c>
      <c r="D37" s="14" t="n">
        <v>4</v>
      </c>
      <c r="E37" s="14" t="n">
        <v>5</v>
      </c>
      <c r="F37" s="14" t="n">
        <v>5</v>
      </c>
      <c r="H37" s="3" t="inlineStr">
        <is>
          <t>Documento 5.3.6: mínimo de 3 clientes gestionados para acceder al descuento. Es un stock, no un flujo: un partner tiene una cartera finita</t>
        </is>
      </c>
    </row>
    <row r="38"/>
    <row r="39">
      <c r="B39" s="39" t="inlineStr">
        <is>
          <t>Retención y parque administrado</t>
        </is>
      </c>
    </row>
    <row r="40">
      <c r="B40" s="11" t="inlineStr">
        <is>
          <t>Baja mensual de clientes</t>
        </is>
      </c>
      <c r="C40" s="12" t="n">
        <v>0.07000000000000001</v>
      </c>
      <c r="D40" s="12" t="n">
        <v>0.05</v>
      </c>
      <c r="E40" s="12" t="n">
        <v>0.04</v>
      </c>
      <c r="F40" s="12" t="n">
        <v>0.04</v>
      </c>
      <c r="H40" s="3" t="inlineStr">
        <is>
          <t>Documento 5.3.3: menor o igual a 7 % en E2 y a 5 % en E3</t>
        </is>
      </c>
    </row>
    <row r="41">
      <c r="B41" s="11" t="inlineStr">
        <is>
          <t>Equipos promedio por cliente — Plan Inicial</t>
        </is>
      </c>
      <c r="C41" s="14" t="n">
        <v>18</v>
      </c>
      <c r="D41" s="14" t="n">
        <v>20</v>
      </c>
      <c r="E41" s="14" t="n">
        <v>22</v>
      </c>
      <c r="F41" s="14" t="n">
        <v>24</v>
      </c>
      <c r="H41" s="3" t="inlineStr">
        <is>
          <t>Segmento A: de 10 a 80 equipos (documento, 4.2). Por encima de los 15 que incluye el plan, así que genera facturación por equipo adicional</t>
        </is>
      </c>
    </row>
    <row r="42">
      <c r="B42" s="11" t="inlineStr">
        <is>
          <t>Equipos promedio por cliente — Plan Estándar</t>
        </is>
      </c>
      <c r="C42" s="14" t="n">
        <v>90</v>
      </c>
      <c r="D42" s="14" t="n">
        <v>100</v>
      </c>
      <c r="E42" s="14" t="n">
        <v>110</v>
      </c>
      <c r="F42" s="14" t="n">
        <v>120</v>
      </c>
      <c r="H42" s="3" t="inlineStr">
        <is>
          <t>Segmento B: de 80 a 250 equipos</t>
        </is>
      </c>
    </row>
    <row r="43">
      <c r="B43" s="11" t="inlineStr">
        <is>
          <t>Equipos promedio por cliente — Plan Partner</t>
        </is>
      </c>
      <c r="C43" s="14" t="n">
        <v>15</v>
      </c>
      <c r="D43" s="14" t="n">
        <v>16</v>
      </c>
      <c r="E43" s="14" t="n">
        <v>17</v>
      </c>
      <c r="F43" s="14" t="n">
        <v>18</v>
      </c>
      <c r="H43" s="3" t="inlineStr">
        <is>
          <t>Clientes chicos gestionados por el canal</t>
        </is>
      </c>
    </row>
    <row r="44"/>
    <row r="45">
      <c r="B45" s="3" t="inlineStr">
        <is>
          <t>Las filas marcadas PENDIENTE no tienen valor cargado a propósito: son las que exigen fuente citada y no se completan a ojo.</t>
        </is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L12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60" customWidth="1" min="11" max="11"/>
  </cols>
  <sheetData>
    <row r="1">
      <c r="A1" s="7" t="inlineStr">
        <is>
          <t>« Inicio</t>
        </is>
      </c>
    </row>
    <row r="2" ht="24" customHeight="1">
      <c r="B2" s="41" t="inlineStr">
        <is>
          <t>LÍNEAS DE SERVICIO</t>
        </is>
      </c>
    </row>
    <row r="3">
      <c r="B3" s="3" t="inlineStr">
        <is>
          <t>Precios de la sección 5.3.6 del documento. Costos variables unitarios de la sección 6.5.3.</t>
        </is>
      </c>
    </row>
    <row r="4"/>
    <row r="5"/>
    <row r="6" ht="32" customHeight="1">
      <c r="B6" s="44" t="inlineStr">
        <is>
          <t>Plan</t>
        </is>
      </c>
      <c r="C6" s="44" t="inlineStr">
        <is>
          <t>Segmento</t>
        </is>
      </c>
      <c r="D6" s="44" t="inlineStr">
        <is>
          <t>Abono mensual</t>
        </is>
      </c>
      <c r="E6" s="44" t="inlineStr">
        <is>
          <t>Equipos incluidos</t>
        </is>
      </c>
      <c r="F6" s="44" t="inlineStr">
        <is>
          <t>Equipo adicional</t>
        </is>
      </c>
      <c r="G6" s="44" t="inlineStr">
        <is>
          <t>CV infraestructura</t>
        </is>
      </c>
      <c r="H6" s="44" t="inlineStr">
        <is>
          <t>CV soporte</t>
        </is>
      </c>
      <c r="I6" s="44" t="inlineStr">
        <is>
          <t>CV servicio de IA</t>
        </is>
      </c>
      <c r="J6" s="44" t="inlineStr">
        <is>
          <t>CV total</t>
        </is>
      </c>
      <c r="K6" s="44" t="inlineStr">
        <is>
          <t>Margen de contribución</t>
        </is>
      </c>
    </row>
    <row r="7">
      <c r="B7" s="16" t="inlineStr">
        <is>
          <t>Plan Inicial</t>
        </is>
      </c>
      <c r="C7" s="11" t="inlineStr">
        <is>
          <t>A</t>
        </is>
      </c>
      <c r="D7" s="13" t="n">
        <v>89000</v>
      </c>
      <c r="E7" s="13" t="n">
        <v>15</v>
      </c>
      <c r="F7" s="13" t="n">
        <v>4200</v>
      </c>
      <c r="G7" s="13" t="n">
        <v>3000</v>
      </c>
      <c r="H7" s="13" t="n">
        <v>4000</v>
      </c>
      <c r="I7" s="13" t="n">
        <v>1500</v>
      </c>
      <c r="J7" s="15">
        <f>SUM(G7:I7)</f>
        <v/>
      </c>
      <c r="K7" s="19">
        <f>(D7-J7)/D7</f>
        <v/>
      </c>
      <c r="L7" s="3" t="inlineStr">
        <is>
          <t>Precio revisado (D-14). USD 46,8 por 15 equipos: USD 3,1 por equipo</t>
        </is>
      </c>
    </row>
    <row r="8">
      <c r="B8" s="16" t="inlineStr">
        <is>
          <t>Plan Estándar</t>
        </is>
      </c>
      <c r="C8" s="11" t="inlineStr">
        <is>
          <t>B</t>
        </is>
      </c>
      <c r="D8" s="13" t="n">
        <v>239000</v>
      </c>
      <c r="E8" s="13" t="n">
        <v>50</v>
      </c>
      <c r="F8" s="13" t="n">
        <v>3500</v>
      </c>
      <c r="G8" s="13" t="n">
        <v>9000</v>
      </c>
      <c r="H8" s="13" t="n">
        <v>12000</v>
      </c>
      <c r="I8" s="13" t="n">
        <v>4000</v>
      </c>
      <c r="J8" s="15">
        <f>SUM(G8:I8)</f>
        <v/>
      </c>
      <c r="K8" s="19">
        <f>(D8-J8)/D8</f>
        <v/>
      </c>
      <c r="L8" s="3" t="inlineStr">
        <is>
          <t>Precio revisado (D-14). USD 125,8 por 50 equipos: USD 2,5 por equipo</t>
        </is>
      </c>
    </row>
    <row r="9">
      <c r="B9" s="16" t="inlineStr">
        <is>
          <t>Plan Partner</t>
        </is>
      </c>
      <c r="C9" s="11" t="inlineStr">
        <is>
          <t>C</t>
        </is>
      </c>
      <c r="D9" s="13" t="n">
        <v>69000</v>
      </c>
      <c r="E9" s="13" t="n">
        <v>30</v>
      </c>
      <c r="F9" s="13" t="n">
        <v>2800</v>
      </c>
      <c r="G9" s="13" t="n">
        <v>2500</v>
      </c>
      <c r="H9" s="13" t="n">
        <v>2500</v>
      </c>
      <c r="I9" s="13" t="n">
        <v>2000</v>
      </c>
      <c r="J9" s="15">
        <f>SUM(G9:I9)</f>
        <v/>
      </c>
      <c r="K9" s="19">
        <f>(D9-J9)/D9</f>
        <v/>
      </c>
      <c r="L9" s="3" t="inlineStr">
        <is>
          <t>Precio revisado (D-14). Mas bajo por equipo: el partner aporta el canal y la primera linea de soporte</t>
        </is>
      </c>
    </row>
    <row r="10"/>
    <row r="11">
      <c r="B11" s="20" t="inlineStr">
        <is>
          <t>El margen de contribución de las tres líneas queda entre el 74 % y el 76 %, que es lo que sostiene la sección 6.5.3. Si al cambiar un supuesto alguno se aparta de ese rango, hay que corregir el documento o el supuesto: no pueden decir cosas distintas.</t>
        </is>
      </c>
    </row>
    <row r="12"/>
  </sheetData>
  <mergeCells count="2">
    <mergeCell ref="B11:L12"/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BB43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41" t="inlineStr">
        <is>
          <t>PROYECCIÓN DE VENTAS</t>
        </is>
      </c>
    </row>
    <row r="3">
      <c r="B3" s="3" t="inlineStr">
        <is>
          <t>Clientes por línea de servicio, mes a mes. Las altas salen del embudo comercial, de la conversión de pilotos y del canal de partners; las tres fuentes se modelan por separado.</t>
        </is>
      </c>
    </row>
    <row r="4"/>
    <row r="5"/>
    <row r="6"/>
    <row r="7">
      <c r="C7" s="39" t="n">
        <v>2027</v>
      </c>
      <c r="P7" s="39" t="n">
        <v>2028</v>
      </c>
      <c r="AC7" s="39" t="n">
        <v>2029</v>
      </c>
      <c r="AP7" s="39" t="n">
        <v>2030</v>
      </c>
    </row>
    <row r="8">
      <c r="C8" s="45" t="inlineStr">
        <is>
          <t>Ene</t>
        </is>
      </c>
      <c r="D8" s="45" t="inlineStr">
        <is>
          <t>Feb</t>
        </is>
      </c>
      <c r="E8" s="45" t="inlineStr">
        <is>
          <t>Mar</t>
        </is>
      </c>
      <c r="F8" s="45" t="inlineStr">
        <is>
          <t>Abr</t>
        </is>
      </c>
      <c r="G8" s="45" t="inlineStr">
        <is>
          <t>May</t>
        </is>
      </c>
      <c r="H8" s="45" t="inlineStr">
        <is>
          <t>Jun</t>
        </is>
      </c>
      <c r="I8" s="45" t="inlineStr">
        <is>
          <t>Jul</t>
        </is>
      </c>
      <c r="J8" s="45" t="inlineStr">
        <is>
          <t>Ago</t>
        </is>
      </c>
      <c r="K8" s="45" t="inlineStr">
        <is>
          <t>Sep</t>
        </is>
      </c>
      <c r="L8" s="45" t="inlineStr">
        <is>
          <t>Oct</t>
        </is>
      </c>
      <c r="M8" s="45" t="inlineStr">
        <is>
          <t>Nov</t>
        </is>
      </c>
      <c r="N8" s="45" t="inlineStr">
        <is>
          <t>Dic</t>
        </is>
      </c>
      <c r="O8" s="22" t="inlineStr">
        <is>
          <t>Total 2027</t>
        </is>
      </c>
      <c r="P8" s="45" t="inlineStr">
        <is>
          <t>Ene</t>
        </is>
      </c>
      <c r="Q8" s="45" t="inlineStr">
        <is>
          <t>Feb</t>
        </is>
      </c>
      <c r="R8" s="45" t="inlineStr">
        <is>
          <t>Mar</t>
        </is>
      </c>
      <c r="S8" s="45" t="inlineStr">
        <is>
          <t>Abr</t>
        </is>
      </c>
      <c r="T8" s="45" t="inlineStr">
        <is>
          <t>May</t>
        </is>
      </c>
      <c r="U8" s="45" t="inlineStr">
        <is>
          <t>Jun</t>
        </is>
      </c>
      <c r="V8" s="45" t="inlineStr">
        <is>
          <t>Jul</t>
        </is>
      </c>
      <c r="W8" s="45" t="inlineStr">
        <is>
          <t>Ago</t>
        </is>
      </c>
      <c r="X8" s="45" t="inlineStr">
        <is>
          <t>Sep</t>
        </is>
      </c>
      <c r="Y8" s="45" t="inlineStr">
        <is>
          <t>Oct</t>
        </is>
      </c>
      <c r="Z8" s="45" t="inlineStr">
        <is>
          <t>Nov</t>
        </is>
      </c>
      <c r="AA8" s="45" t="inlineStr">
        <is>
          <t>Dic</t>
        </is>
      </c>
      <c r="AB8" s="22" t="inlineStr">
        <is>
          <t>Total 2028</t>
        </is>
      </c>
      <c r="AC8" s="45" t="inlineStr">
        <is>
          <t>Ene</t>
        </is>
      </c>
      <c r="AD8" s="45" t="inlineStr">
        <is>
          <t>Feb</t>
        </is>
      </c>
      <c r="AE8" s="45" t="inlineStr">
        <is>
          <t>Mar</t>
        </is>
      </c>
      <c r="AF8" s="45" t="inlineStr">
        <is>
          <t>Abr</t>
        </is>
      </c>
      <c r="AG8" s="45" t="inlineStr">
        <is>
          <t>May</t>
        </is>
      </c>
      <c r="AH8" s="45" t="inlineStr">
        <is>
          <t>Jun</t>
        </is>
      </c>
      <c r="AI8" s="45" t="inlineStr">
        <is>
          <t>Jul</t>
        </is>
      </c>
      <c r="AJ8" s="45" t="inlineStr">
        <is>
          <t>Ago</t>
        </is>
      </c>
      <c r="AK8" s="45" t="inlineStr">
        <is>
          <t>Sep</t>
        </is>
      </c>
      <c r="AL8" s="45" t="inlineStr">
        <is>
          <t>Oct</t>
        </is>
      </c>
      <c r="AM8" s="45" t="inlineStr">
        <is>
          <t>Nov</t>
        </is>
      </c>
      <c r="AN8" s="45" t="inlineStr">
        <is>
          <t>Dic</t>
        </is>
      </c>
      <c r="AO8" s="22" t="inlineStr">
        <is>
          <t>Total 2029</t>
        </is>
      </c>
      <c r="AP8" s="45" t="inlineStr">
        <is>
          <t>Ene</t>
        </is>
      </c>
      <c r="AQ8" s="45" t="inlineStr">
        <is>
          <t>Feb</t>
        </is>
      </c>
      <c r="AR8" s="45" t="inlineStr">
        <is>
          <t>Mar</t>
        </is>
      </c>
      <c r="AS8" s="45" t="inlineStr">
        <is>
          <t>Abr</t>
        </is>
      </c>
      <c r="AT8" s="45" t="inlineStr">
        <is>
          <t>May</t>
        </is>
      </c>
      <c r="AU8" s="45" t="inlineStr">
        <is>
          <t>Jun</t>
        </is>
      </c>
      <c r="AV8" s="45" t="inlineStr">
        <is>
          <t>Jul</t>
        </is>
      </c>
      <c r="AW8" s="45" t="inlineStr">
        <is>
          <t>Ago</t>
        </is>
      </c>
      <c r="AX8" s="45" t="inlineStr">
        <is>
          <t>Sep</t>
        </is>
      </c>
      <c r="AY8" s="45" t="inlineStr">
        <is>
          <t>Oct</t>
        </is>
      </c>
      <c r="AZ8" s="45" t="inlineStr">
        <is>
          <t>Nov</t>
        </is>
      </c>
      <c r="BA8" s="45" t="inlineStr">
        <is>
          <t>Dic</t>
        </is>
      </c>
      <c r="BB8" s="22" t="inlineStr">
        <is>
          <t>Total 2030</t>
        </is>
      </c>
    </row>
    <row r="9"/>
    <row r="10">
      <c r="B10" s="39" t="inlineStr">
        <is>
          <t>Embudo comercial</t>
        </is>
      </c>
    </row>
    <row r="11">
      <c r="A11" s="16" t="inlineStr">
        <is>
          <t>EMBUDO</t>
        </is>
      </c>
      <c r="B11" s="11" t="inlineStr">
        <is>
          <t>Visitas web</t>
        </is>
      </c>
      <c r="C11" s="23">
        <f>Hipótesis!$C$24</f>
        <v/>
      </c>
      <c r="D11" s="23">
        <f>C11*(1+Hipótesis!$C$25)</f>
        <v/>
      </c>
      <c r="E11" s="23">
        <f>D11*(1+Hipótesis!$C$25)</f>
        <v/>
      </c>
      <c r="F11" s="23">
        <f>E11*(1+Hipótesis!$C$25)</f>
        <v/>
      </c>
      <c r="G11" s="23">
        <f>F11*(1+Hipótesis!$C$25)</f>
        <v/>
      </c>
      <c r="H11" s="23">
        <f>G11*(1+Hipótesis!$C$25)</f>
        <v/>
      </c>
      <c r="I11" s="23">
        <f>H11*(1+Hipótesis!$C$25)</f>
        <v/>
      </c>
      <c r="J11" s="23">
        <f>I11*(1+Hipótesis!$C$25)</f>
        <v/>
      </c>
      <c r="K11" s="23">
        <f>J11*(1+Hipótesis!$C$25)</f>
        <v/>
      </c>
      <c r="L11" s="23">
        <f>K11*(1+Hipótesis!$C$25)</f>
        <v/>
      </c>
      <c r="M11" s="23">
        <f>L11*(1+Hipótesis!$C$25)</f>
        <v/>
      </c>
      <c r="N11" s="23">
        <f>M11*(1+Hipótesis!$C$25)</f>
        <v/>
      </c>
      <c r="O11" s="24">
        <f>SUM(C11:N11)</f>
        <v/>
      </c>
      <c r="P11" s="23">
        <f>N11*(1+Hipótesis!$D$25)</f>
        <v/>
      </c>
      <c r="Q11" s="23">
        <f>P11*(1+Hipótesis!$D$25)</f>
        <v/>
      </c>
      <c r="R11" s="23">
        <f>Q11*(1+Hipótesis!$D$25)</f>
        <v/>
      </c>
      <c r="S11" s="23">
        <f>R11*(1+Hipótesis!$D$25)</f>
        <v/>
      </c>
      <c r="T11" s="23">
        <f>S11*(1+Hipótesis!$D$25)</f>
        <v/>
      </c>
      <c r="U11" s="23">
        <f>T11*(1+Hipótesis!$D$25)</f>
        <v/>
      </c>
      <c r="V11" s="23">
        <f>U11*(1+Hipótesis!$D$25)</f>
        <v/>
      </c>
      <c r="W11" s="23">
        <f>V11*(1+Hipótesis!$D$25)</f>
        <v/>
      </c>
      <c r="X11" s="23">
        <f>W11*(1+Hipótesis!$D$25)</f>
        <v/>
      </c>
      <c r="Y11" s="23">
        <f>X11*(1+Hipótesis!$D$25)</f>
        <v/>
      </c>
      <c r="Z11" s="23">
        <f>Y11*(1+Hipótesis!$D$25)</f>
        <v/>
      </c>
      <c r="AA11" s="23">
        <f>Z11*(1+Hipótesis!$D$25)</f>
        <v/>
      </c>
      <c r="AB11" s="24">
        <f>SUM(P11:AA11)</f>
        <v/>
      </c>
      <c r="AC11" s="23">
        <f>AA11*(1+Hipótesis!$E$25)</f>
        <v/>
      </c>
      <c r="AD11" s="23">
        <f>AC11*(1+Hipótesis!$E$25)</f>
        <v/>
      </c>
      <c r="AE11" s="23">
        <f>AD11*(1+Hipótesis!$E$25)</f>
        <v/>
      </c>
      <c r="AF11" s="23">
        <f>AE11*(1+Hipótesis!$E$25)</f>
        <v/>
      </c>
      <c r="AG11" s="23">
        <f>AF11*(1+Hipótesis!$E$25)</f>
        <v/>
      </c>
      <c r="AH11" s="23">
        <f>AG11*(1+Hipótesis!$E$25)</f>
        <v/>
      </c>
      <c r="AI11" s="23">
        <f>AH11*(1+Hipótesis!$E$25)</f>
        <v/>
      </c>
      <c r="AJ11" s="23">
        <f>AI11*(1+Hipótesis!$E$25)</f>
        <v/>
      </c>
      <c r="AK11" s="23">
        <f>AJ11*(1+Hipótesis!$E$25)</f>
        <v/>
      </c>
      <c r="AL11" s="23">
        <f>AK11*(1+Hipótesis!$E$25)</f>
        <v/>
      </c>
      <c r="AM11" s="23">
        <f>AL11*(1+Hipótesis!$E$25)</f>
        <v/>
      </c>
      <c r="AN11" s="23">
        <f>AM11*(1+Hipótesis!$E$25)</f>
        <v/>
      </c>
      <c r="AO11" s="24">
        <f>SUM(AC11:AN11)</f>
        <v/>
      </c>
      <c r="AP11" s="23">
        <f>AN11*(1+Hipótesis!$F$25)</f>
        <v/>
      </c>
      <c r="AQ11" s="23">
        <f>AP11*(1+Hipótesis!$F$25)</f>
        <v/>
      </c>
      <c r="AR11" s="23">
        <f>AQ11*(1+Hipótesis!$F$25)</f>
        <v/>
      </c>
      <c r="AS11" s="23">
        <f>AR11*(1+Hipótesis!$F$25)</f>
        <v/>
      </c>
      <c r="AT11" s="23">
        <f>AS11*(1+Hipótesis!$F$25)</f>
        <v/>
      </c>
      <c r="AU11" s="23">
        <f>AT11*(1+Hipótesis!$F$25)</f>
        <v/>
      </c>
      <c r="AV11" s="23">
        <f>AU11*(1+Hipótesis!$F$25)</f>
        <v/>
      </c>
      <c r="AW11" s="23">
        <f>AV11*(1+Hipótesis!$F$25)</f>
        <v/>
      </c>
      <c r="AX11" s="23">
        <f>AW11*(1+Hipótesis!$F$25)</f>
        <v/>
      </c>
      <c r="AY11" s="23">
        <f>AX11*(1+Hipótesis!$F$25)</f>
        <v/>
      </c>
      <c r="AZ11" s="23">
        <f>AY11*(1+Hipótesis!$F$25)</f>
        <v/>
      </c>
      <c r="BA11" s="23">
        <f>AZ11*(1+Hipótesis!$F$25)</f>
        <v/>
      </c>
      <c r="BB11" s="24">
        <f>SUM(AP11:BA11)</f>
        <v/>
      </c>
    </row>
    <row r="12">
      <c r="B12" s="11" t="inlineStr">
        <is>
          <t xml:space="preserve">    Leads</t>
        </is>
      </c>
      <c r="C12" s="25">
        <f>C11*Hipótesis!$C$26</f>
        <v/>
      </c>
      <c r="D12" s="25">
        <f>D11*Hipótesis!$C$26</f>
        <v/>
      </c>
      <c r="E12" s="25">
        <f>E11*Hipótesis!$C$26</f>
        <v/>
      </c>
      <c r="F12" s="25">
        <f>F11*Hipótesis!$C$26</f>
        <v/>
      </c>
      <c r="G12" s="25">
        <f>G11*Hipótesis!$C$26</f>
        <v/>
      </c>
      <c r="H12" s="25">
        <f>H11*Hipótesis!$C$26</f>
        <v/>
      </c>
      <c r="I12" s="25">
        <f>I11*Hipótesis!$C$26</f>
        <v/>
      </c>
      <c r="J12" s="25">
        <f>J11*Hipótesis!$C$26</f>
        <v/>
      </c>
      <c r="K12" s="25">
        <f>K11*Hipótesis!$C$26</f>
        <v/>
      </c>
      <c r="L12" s="25">
        <f>L11*Hipótesis!$C$26</f>
        <v/>
      </c>
      <c r="M12" s="25">
        <f>M11*Hipótesis!$C$26</f>
        <v/>
      </c>
      <c r="N12" s="25">
        <f>N11*Hipótesis!$C$26</f>
        <v/>
      </c>
      <c r="O12" s="26">
        <f>SUM(C12:N12)</f>
        <v/>
      </c>
      <c r="P12" s="25">
        <f>P11*Hipótesis!$C$26</f>
        <v/>
      </c>
      <c r="Q12" s="25">
        <f>Q11*Hipótesis!$C$26</f>
        <v/>
      </c>
      <c r="R12" s="25">
        <f>R11*Hipótesis!$C$26</f>
        <v/>
      </c>
      <c r="S12" s="25">
        <f>S11*Hipótesis!$C$26</f>
        <v/>
      </c>
      <c r="T12" s="25">
        <f>T11*Hipótesis!$C$26</f>
        <v/>
      </c>
      <c r="U12" s="25">
        <f>U11*Hipótesis!$C$26</f>
        <v/>
      </c>
      <c r="V12" s="25">
        <f>V11*Hipótesis!$C$26</f>
        <v/>
      </c>
      <c r="W12" s="25">
        <f>W11*Hipótesis!$C$26</f>
        <v/>
      </c>
      <c r="X12" s="25">
        <f>X11*Hipótesis!$C$26</f>
        <v/>
      </c>
      <c r="Y12" s="25">
        <f>Y11*Hipótesis!$C$26</f>
        <v/>
      </c>
      <c r="Z12" s="25">
        <f>Z11*Hipótesis!$C$26</f>
        <v/>
      </c>
      <c r="AA12" s="25">
        <f>AA11*Hipótesis!$C$26</f>
        <v/>
      </c>
      <c r="AB12" s="26">
        <f>SUM(P12:AA12)</f>
        <v/>
      </c>
      <c r="AC12" s="25">
        <f>AC11*Hipótesis!$C$26</f>
        <v/>
      </c>
      <c r="AD12" s="25">
        <f>AD11*Hipótesis!$C$26</f>
        <v/>
      </c>
      <c r="AE12" s="25">
        <f>AE11*Hipótesis!$C$26</f>
        <v/>
      </c>
      <c r="AF12" s="25">
        <f>AF11*Hipótesis!$C$26</f>
        <v/>
      </c>
      <c r="AG12" s="25">
        <f>AG11*Hipótesis!$C$26</f>
        <v/>
      </c>
      <c r="AH12" s="25">
        <f>AH11*Hipótesis!$C$26</f>
        <v/>
      </c>
      <c r="AI12" s="25">
        <f>AI11*Hipótesis!$C$26</f>
        <v/>
      </c>
      <c r="AJ12" s="25">
        <f>AJ11*Hipótesis!$C$26</f>
        <v/>
      </c>
      <c r="AK12" s="25">
        <f>AK11*Hipótesis!$C$26</f>
        <v/>
      </c>
      <c r="AL12" s="25">
        <f>AL11*Hipótesis!$C$26</f>
        <v/>
      </c>
      <c r="AM12" s="25">
        <f>AM11*Hipótesis!$C$26</f>
        <v/>
      </c>
      <c r="AN12" s="25">
        <f>AN11*Hipótesis!$C$26</f>
        <v/>
      </c>
      <c r="AO12" s="26">
        <f>SUM(AC12:AN12)</f>
        <v/>
      </c>
      <c r="AP12" s="25">
        <f>AP11*Hipótesis!$C$26</f>
        <v/>
      </c>
      <c r="AQ12" s="25">
        <f>AQ11*Hipótesis!$C$26</f>
        <v/>
      </c>
      <c r="AR12" s="25">
        <f>AR11*Hipótesis!$C$26</f>
        <v/>
      </c>
      <c r="AS12" s="25">
        <f>AS11*Hipótesis!$C$26</f>
        <v/>
      </c>
      <c r="AT12" s="25">
        <f>AT11*Hipótesis!$C$26</f>
        <v/>
      </c>
      <c r="AU12" s="25">
        <f>AU11*Hipótesis!$C$26</f>
        <v/>
      </c>
      <c r="AV12" s="25">
        <f>AV11*Hipótesis!$C$26</f>
        <v/>
      </c>
      <c r="AW12" s="25">
        <f>AW11*Hipótesis!$C$26</f>
        <v/>
      </c>
      <c r="AX12" s="25">
        <f>AX11*Hipótesis!$C$26</f>
        <v/>
      </c>
      <c r="AY12" s="25">
        <f>AY11*Hipótesis!$C$26</f>
        <v/>
      </c>
      <c r="AZ12" s="25">
        <f>AZ11*Hipótesis!$C$26</f>
        <v/>
      </c>
      <c r="BA12" s="25">
        <f>BA11*Hipótesis!$C$26</f>
        <v/>
      </c>
      <c r="BB12" s="26">
        <f>SUM(AP12:BA12)</f>
        <v/>
      </c>
    </row>
    <row r="13">
      <c r="B13" s="11" t="inlineStr">
        <is>
          <t xml:space="preserve">    Demos calificadas</t>
        </is>
      </c>
      <c r="C13" s="25">
        <f>C12*Hipótesis!$C$27</f>
        <v/>
      </c>
      <c r="D13" s="25">
        <f>D12*Hipótesis!$C$27</f>
        <v/>
      </c>
      <c r="E13" s="25">
        <f>E12*Hipótesis!$C$27</f>
        <v/>
      </c>
      <c r="F13" s="25">
        <f>F12*Hipótesis!$C$27</f>
        <v/>
      </c>
      <c r="G13" s="25">
        <f>G12*Hipótesis!$C$27</f>
        <v/>
      </c>
      <c r="H13" s="25">
        <f>H12*Hipótesis!$C$27</f>
        <v/>
      </c>
      <c r="I13" s="25">
        <f>I12*Hipótesis!$C$27</f>
        <v/>
      </c>
      <c r="J13" s="25">
        <f>J12*Hipótesis!$C$27</f>
        <v/>
      </c>
      <c r="K13" s="25">
        <f>K12*Hipótesis!$C$27</f>
        <v/>
      </c>
      <c r="L13" s="25">
        <f>L12*Hipótesis!$C$27</f>
        <v/>
      </c>
      <c r="M13" s="25">
        <f>M12*Hipótesis!$C$27</f>
        <v/>
      </c>
      <c r="N13" s="25">
        <f>N12*Hipótesis!$C$27</f>
        <v/>
      </c>
      <c r="O13" s="26">
        <f>SUM(C13:N13)</f>
        <v/>
      </c>
      <c r="P13" s="25">
        <f>P12*Hipótesis!$C$27</f>
        <v/>
      </c>
      <c r="Q13" s="25">
        <f>Q12*Hipótesis!$C$27</f>
        <v/>
      </c>
      <c r="R13" s="25">
        <f>R12*Hipótesis!$C$27</f>
        <v/>
      </c>
      <c r="S13" s="25">
        <f>S12*Hipótesis!$C$27</f>
        <v/>
      </c>
      <c r="T13" s="25">
        <f>T12*Hipótesis!$C$27</f>
        <v/>
      </c>
      <c r="U13" s="25">
        <f>U12*Hipótesis!$C$27</f>
        <v/>
      </c>
      <c r="V13" s="25">
        <f>V12*Hipótesis!$C$27</f>
        <v/>
      </c>
      <c r="W13" s="25">
        <f>W12*Hipótesis!$C$27</f>
        <v/>
      </c>
      <c r="X13" s="25">
        <f>X12*Hipótesis!$C$27</f>
        <v/>
      </c>
      <c r="Y13" s="25">
        <f>Y12*Hipótesis!$C$27</f>
        <v/>
      </c>
      <c r="Z13" s="25">
        <f>Z12*Hipótesis!$C$27</f>
        <v/>
      </c>
      <c r="AA13" s="25">
        <f>AA12*Hipótesis!$C$27</f>
        <v/>
      </c>
      <c r="AB13" s="26">
        <f>SUM(P13:AA13)</f>
        <v/>
      </c>
      <c r="AC13" s="25">
        <f>AC12*Hipótesis!$C$27</f>
        <v/>
      </c>
      <c r="AD13" s="25">
        <f>AD12*Hipótesis!$C$27</f>
        <v/>
      </c>
      <c r="AE13" s="25">
        <f>AE12*Hipótesis!$C$27</f>
        <v/>
      </c>
      <c r="AF13" s="25">
        <f>AF12*Hipótesis!$C$27</f>
        <v/>
      </c>
      <c r="AG13" s="25">
        <f>AG12*Hipótesis!$C$27</f>
        <v/>
      </c>
      <c r="AH13" s="25">
        <f>AH12*Hipótesis!$C$27</f>
        <v/>
      </c>
      <c r="AI13" s="25">
        <f>AI12*Hipótesis!$C$27</f>
        <v/>
      </c>
      <c r="AJ13" s="25">
        <f>AJ12*Hipótesis!$C$27</f>
        <v/>
      </c>
      <c r="AK13" s="25">
        <f>AK12*Hipótesis!$C$27</f>
        <v/>
      </c>
      <c r="AL13" s="25">
        <f>AL12*Hipótesis!$C$27</f>
        <v/>
      </c>
      <c r="AM13" s="25">
        <f>AM12*Hipótesis!$C$27</f>
        <v/>
      </c>
      <c r="AN13" s="25">
        <f>AN12*Hipótesis!$C$27</f>
        <v/>
      </c>
      <c r="AO13" s="26">
        <f>SUM(AC13:AN13)</f>
        <v/>
      </c>
      <c r="AP13" s="25">
        <f>AP12*Hipótesis!$C$27</f>
        <v/>
      </c>
      <c r="AQ13" s="25">
        <f>AQ12*Hipótesis!$C$27</f>
        <v/>
      </c>
      <c r="AR13" s="25">
        <f>AR12*Hipótesis!$C$27</f>
        <v/>
      </c>
      <c r="AS13" s="25">
        <f>AS12*Hipótesis!$C$27</f>
        <v/>
      </c>
      <c r="AT13" s="25">
        <f>AT12*Hipótesis!$C$27</f>
        <v/>
      </c>
      <c r="AU13" s="25">
        <f>AU12*Hipótesis!$C$27</f>
        <v/>
      </c>
      <c r="AV13" s="25">
        <f>AV12*Hipótesis!$C$27</f>
        <v/>
      </c>
      <c r="AW13" s="25">
        <f>AW12*Hipótesis!$C$27</f>
        <v/>
      </c>
      <c r="AX13" s="25">
        <f>AX12*Hipótesis!$C$27</f>
        <v/>
      </c>
      <c r="AY13" s="25">
        <f>AY12*Hipótesis!$C$27</f>
        <v/>
      </c>
      <c r="AZ13" s="25">
        <f>AZ12*Hipótesis!$C$27</f>
        <v/>
      </c>
      <c r="BA13" s="25">
        <f>BA12*Hipótesis!$C$27</f>
        <v/>
      </c>
      <c r="BB13" s="26">
        <f>SUM(AP13:BA13)</f>
        <v/>
      </c>
    </row>
    <row r="14">
      <c r="B14" s="11" t="inlineStr">
        <is>
          <t xml:space="preserve">    Pruebas gratuitas iniciadas</t>
        </is>
      </c>
      <c r="C14" s="25">
        <f>C13*Hipótesis!$C$28</f>
        <v/>
      </c>
      <c r="D14" s="25">
        <f>D13*Hipótesis!$C$28</f>
        <v/>
      </c>
      <c r="E14" s="25">
        <f>E13*Hipótesis!$C$28</f>
        <v/>
      </c>
      <c r="F14" s="25">
        <f>F13*Hipótesis!$C$28</f>
        <v/>
      </c>
      <c r="G14" s="25">
        <f>G13*Hipótesis!$C$28</f>
        <v/>
      </c>
      <c r="H14" s="25">
        <f>H13*Hipótesis!$C$28</f>
        <v/>
      </c>
      <c r="I14" s="25">
        <f>I13*Hipótesis!$C$28</f>
        <v/>
      </c>
      <c r="J14" s="25">
        <f>J13*Hipótesis!$C$28</f>
        <v/>
      </c>
      <c r="K14" s="25">
        <f>K13*Hipótesis!$C$28</f>
        <v/>
      </c>
      <c r="L14" s="25">
        <f>L13*Hipótesis!$C$28</f>
        <v/>
      </c>
      <c r="M14" s="25">
        <f>M13*Hipótesis!$C$28</f>
        <v/>
      </c>
      <c r="N14" s="25">
        <f>N13*Hipótesis!$C$28</f>
        <v/>
      </c>
      <c r="O14" s="26">
        <f>SUM(C14:N14)</f>
        <v/>
      </c>
      <c r="P14" s="25">
        <f>P13*Hipótesis!$C$28</f>
        <v/>
      </c>
      <c r="Q14" s="25">
        <f>Q13*Hipótesis!$C$28</f>
        <v/>
      </c>
      <c r="R14" s="25">
        <f>R13*Hipótesis!$C$28</f>
        <v/>
      </c>
      <c r="S14" s="25">
        <f>S13*Hipótesis!$C$28</f>
        <v/>
      </c>
      <c r="T14" s="25">
        <f>T13*Hipótesis!$C$28</f>
        <v/>
      </c>
      <c r="U14" s="25">
        <f>U13*Hipótesis!$C$28</f>
        <v/>
      </c>
      <c r="V14" s="25">
        <f>V13*Hipótesis!$C$28</f>
        <v/>
      </c>
      <c r="W14" s="25">
        <f>W13*Hipótesis!$C$28</f>
        <v/>
      </c>
      <c r="X14" s="25">
        <f>X13*Hipótesis!$C$28</f>
        <v/>
      </c>
      <c r="Y14" s="25">
        <f>Y13*Hipótesis!$C$28</f>
        <v/>
      </c>
      <c r="Z14" s="25">
        <f>Z13*Hipótesis!$C$28</f>
        <v/>
      </c>
      <c r="AA14" s="25">
        <f>AA13*Hipótesis!$C$28</f>
        <v/>
      </c>
      <c r="AB14" s="26">
        <f>SUM(P14:AA14)</f>
        <v/>
      </c>
      <c r="AC14" s="25">
        <f>AC13*Hipótesis!$C$28</f>
        <v/>
      </c>
      <c r="AD14" s="25">
        <f>AD13*Hipótesis!$C$28</f>
        <v/>
      </c>
      <c r="AE14" s="25">
        <f>AE13*Hipótesis!$C$28</f>
        <v/>
      </c>
      <c r="AF14" s="25">
        <f>AF13*Hipótesis!$C$28</f>
        <v/>
      </c>
      <c r="AG14" s="25">
        <f>AG13*Hipótesis!$C$28</f>
        <v/>
      </c>
      <c r="AH14" s="25">
        <f>AH13*Hipótesis!$C$28</f>
        <v/>
      </c>
      <c r="AI14" s="25">
        <f>AI13*Hipótesis!$C$28</f>
        <v/>
      </c>
      <c r="AJ14" s="25">
        <f>AJ13*Hipótesis!$C$28</f>
        <v/>
      </c>
      <c r="AK14" s="25">
        <f>AK13*Hipótesis!$C$28</f>
        <v/>
      </c>
      <c r="AL14" s="25">
        <f>AL13*Hipótesis!$C$28</f>
        <v/>
      </c>
      <c r="AM14" s="25">
        <f>AM13*Hipótesis!$C$28</f>
        <v/>
      </c>
      <c r="AN14" s="25">
        <f>AN13*Hipótesis!$C$28</f>
        <v/>
      </c>
      <c r="AO14" s="26">
        <f>SUM(AC14:AN14)</f>
        <v/>
      </c>
      <c r="AP14" s="25">
        <f>AP13*Hipótesis!$C$28</f>
        <v/>
      </c>
      <c r="AQ14" s="25">
        <f>AQ13*Hipótesis!$C$28</f>
        <v/>
      </c>
      <c r="AR14" s="25">
        <f>AR13*Hipótesis!$C$28</f>
        <v/>
      </c>
      <c r="AS14" s="25">
        <f>AS13*Hipótesis!$C$28</f>
        <v/>
      </c>
      <c r="AT14" s="25">
        <f>AT13*Hipótesis!$C$28</f>
        <v/>
      </c>
      <c r="AU14" s="25">
        <f>AU13*Hipótesis!$C$28</f>
        <v/>
      </c>
      <c r="AV14" s="25">
        <f>AV13*Hipótesis!$C$28</f>
        <v/>
      </c>
      <c r="AW14" s="25">
        <f>AW13*Hipótesis!$C$28</f>
        <v/>
      </c>
      <c r="AX14" s="25">
        <f>AX13*Hipótesis!$C$28</f>
        <v/>
      </c>
      <c r="AY14" s="25">
        <f>AY13*Hipótesis!$C$28</f>
        <v/>
      </c>
      <c r="AZ14" s="25">
        <f>AZ13*Hipótesis!$C$28</f>
        <v/>
      </c>
      <c r="BA14" s="25">
        <f>BA13*Hipótesis!$C$28</f>
        <v/>
      </c>
      <c r="BB14" s="26">
        <f>SUM(AP14:BA14)</f>
        <v/>
      </c>
    </row>
    <row r="15">
      <c r="B15" s="16" t="inlineStr">
        <is>
          <t xml:space="preserve">    Clientes nuevos por embudo directo</t>
        </is>
      </c>
      <c r="C15" s="27">
        <f>IF(1&lt;Hipótesis!$C$35,0,C14*Hipótesis!$C$29)</f>
        <v/>
      </c>
      <c r="D15" s="27">
        <f>IF(2&lt;Hipótesis!$C$35,0,D14*Hipótesis!$C$29)</f>
        <v/>
      </c>
      <c r="E15" s="27">
        <f>IF(3&lt;Hipótesis!$C$35,0,E14*Hipótesis!$C$29)</f>
        <v/>
      </c>
      <c r="F15" s="27">
        <f>IF(4&lt;Hipótesis!$C$35,0,F14*Hipótesis!$C$29)</f>
        <v/>
      </c>
      <c r="G15" s="27">
        <f>IF(5&lt;Hipótesis!$C$35,0,G14*Hipótesis!$C$29)</f>
        <v/>
      </c>
      <c r="H15" s="27">
        <f>IF(6&lt;Hipótesis!$C$35,0,H14*Hipótesis!$C$29)</f>
        <v/>
      </c>
      <c r="I15" s="27">
        <f>IF(7&lt;Hipótesis!$C$35,0,I14*Hipótesis!$C$29)</f>
        <v/>
      </c>
      <c r="J15" s="27">
        <f>IF(8&lt;Hipótesis!$C$35,0,J14*Hipótesis!$C$29)</f>
        <v/>
      </c>
      <c r="K15" s="27">
        <f>IF(9&lt;Hipótesis!$C$35,0,K14*Hipótesis!$C$29)</f>
        <v/>
      </c>
      <c r="L15" s="27">
        <f>IF(10&lt;Hipótesis!$C$35,0,L14*Hipótesis!$C$29)</f>
        <v/>
      </c>
      <c r="M15" s="27">
        <f>IF(11&lt;Hipótesis!$C$35,0,M14*Hipótesis!$C$29)</f>
        <v/>
      </c>
      <c r="N15" s="27">
        <f>IF(12&lt;Hipótesis!$C$35,0,N14*Hipótesis!$C$29)</f>
        <v/>
      </c>
      <c r="O15" s="26">
        <f>SUM(C15:N15)</f>
        <v/>
      </c>
      <c r="P15" s="27">
        <f>IF(13&lt;Hipótesis!$C$35,0,P14*Hipótesis!$C$29)</f>
        <v/>
      </c>
      <c r="Q15" s="27">
        <f>IF(14&lt;Hipótesis!$C$35,0,Q14*Hipótesis!$C$29)</f>
        <v/>
      </c>
      <c r="R15" s="27">
        <f>IF(15&lt;Hipótesis!$C$35,0,R14*Hipótesis!$C$29)</f>
        <v/>
      </c>
      <c r="S15" s="27">
        <f>IF(16&lt;Hipótesis!$C$35,0,S14*Hipótesis!$C$29)</f>
        <v/>
      </c>
      <c r="T15" s="27">
        <f>IF(17&lt;Hipótesis!$C$35,0,T14*Hipótesis!$C$29)</f>
        <v/>
      </c>
      <c r="U15" s="27">
        <f>IF(18&lt;Hipótesis!$C$35,0,U14*Hipótesis!$C$29)</f>
        <v/>
      </c>
      <c r="V15" s="27">
        <f>IF(19&lt;Hipótesis!$C$35,0,V14*Hipótesis!$C$29)</f>
        <v/>
      </c>
      <c r="W15" s="27">
        <f>IF(20&lt;Hipótesis!$C$35,0,W14*Hipótesis!$C$29)</f>
        <v/>
      </c>
      <c r="X15" s="27">
        <f>IF(21&lt;Hipótesis!$C$35,0,X14*Hipótesis!$C$29)</f>
        <v/>
      </c>
      <c r="Y15" s="27">
        <f>IF(22&lt;Hipótesis!$C$35,0,Y14*Hipótesis!$C$29)</f>
        <v/>
      </c>
      <c r="Z15" s="27">
        <f>IF(23&lt;Hipótesis!$C$35,0,Z14*Hipótesis!$C$29)</f>
        <v/>
      </c>
      <c r="AA15" s="27">
        <f>IF(24&lt;Hipótesis!$C$35,0,AA14*Hipótesis!$C$29)</f>
        <v/>
      </c>
      <c r="AB15" s="26">
        <f>SUM(P15:AA15)</f>
        <v/>
      </c>
      <c r="AC15" s="27">
        <f>IF(25&lt;Hipótesis!$C$35,0,AC14*Hipótesis!$C$29)</f>
        <v/>
      </c>
      <c r="AD15" s="27">
        <f>IF(26&lt;Hipótesis!$C$35,0,AD14*Hipótesis!$C$29)</f>
        <v/>
      </c>
      <c r="AE15" s="27">
        <f>IF(27&lt;Hipótesis!$C$35,0,AE14*Hipótesis!$C$29)</f>
        <v/>
      </c>
      <c r="AF15" s="27">
        <f>IF(28&lt;Hipótesis!$C$35,0,AF14*Hipótesis!$C$29)</f>
        <v/>
      </c>
      <c r="AG15" s="27">
        <f>IF(29&lt;Hipótesis!$C$35,0,AG14*Hipótesis!$C$29)</f>
        <v/>
      </c>
      <c r="AH15" s="27">
        <f>IF(30&lt;Hipótesis!$C$35,0,AH14*Hipótesis!$C$29)</f>
        <v/>
      </c>
      <c r="AI15" s="27">
        <f>IF(31&lt;Hipótesis!$C$35,0,AI14*Hipótesis!$C$29)</f>
        <v/>
      </c>
      <c r="AJ15" s="27">
        <f>IF(32&lt;Hipótesis!$C$35,0,AJ14*Hipótesis!$C$29)</f>
        <v/>
      </c>
      <c r="AK15" s="27">
        <f>IF(33&lt;Hipótesis!$C$35,0,AK14*Hipótesis!$C$29)</f>
        <v/>
      </c>
      <c r="AL15" s="27">
        <f>IF(34&lt;Hipótesis!$C$35,0,AL14*Hipótesis!$C$29)</f>
        <v/>
      </c>
      <c r="AM15" s="27">
        <f>IF(35&lt;Hipótesis!$C$35,0,AM14*Hipótesis!$C$29)</f>
        <v/>
      </c>
      <c r="AN15" s="27">
        <f>IF(36&lt;Hipótesis!$C$35,0,AN14*Hipótesis!$C$29)</f>
        <v/>
      </c>
      <c r="AO15" s="26">
        <f>SUM(AC15:AN15)</f>
        <v/>
      </c>
      <c r="AP15" s="27">
        <f>IF(37&lt;Hipótesis!$C$35,0,AP14*Hipótesis!$C$29)</f>
        <v/>
      </c>
      <c r="AQ15" s="27">
        <f>IF(38&lt;Hipótesis!$C$35,0,AQ14*Hipótesis!$C$29)</f>
        <v/>
      </c>
      <c r="AR15" s="27">
        <f>IF(39&lt;Hipótesis!$C$35,0,AR14*Hipótesis!$C$29)</f>
        <v/>
      </c>
      <c r="AS15" s="27">
        <f>IF(40&lt;Hipótesis!$C$35,0,AS14*Hipótesis!$C$29)</f>
        <v/>
      </c>
      <c r="AT15" s="27">
        <f>IF(41&lt;Hipótesis!$C$35,0,AT14*Hipótesis!$C$29)</f>
        <v/>
      </c>
      <c r="AU15" s="27">
        <f>IF(42&lt;Hipótesis!$C$35,0,AU14*Hipótesis!$C$29)</f>
        <v/>
      </c>
      <c r="AV15" s="27">
        <f>IF(43&lt;Hipótesis!$C$35,0,AV14*Hipótesis!$C$29)</f>
        <v/>
      </c>
      <c r="AW15" s="27">
        <f>IF(44&lt;Hipótesis!$C$35,0,AW14*Hipótesis!$C$29)</f>
        <v/>
      </c>
      <c r="AX15" s="27">
        <f>IF(45&lt;Hipótesis!$C$35,0,AX14*Hipótesis!$C$29)</f>
        <v/>
      </c>
      <c r="AY15" s="27">
        <f>IF(46&lt;Hipótesis!$C$35,0,AY14*Hipótesis!$C$29)</f>
        <v/>
      </c>
      <c r="AZ15" s="27">
        <f>IF(47&lt;Hipótesis!$C$35,0,AZ14*Hipótesis!$C$29)</f>
        <v/>
      </c>
      <c r="BA15" s="27">
        <f>IF(48&lt;Hipótesis!$C$35,0,BA14*Hipótesis!$C$29)</f>
        <v/>
      </c>
      <c r="BB15" s="26">
        <f>SUM(AP15:BA15)</f>
        <v/>
      </c>
    </row>
    <row r="16"/>
    <row r="17">
      <c r="B17" s="39" t="inlineStr">
        <is>
          <t>Plan Inicial — Segmento A</t>
        </is>
      </c>
    </row>
    <row r="18">
      <c r="A18" s="16" t="inlineStr">
        <is>
          <t>PLAN INICIAL</t>
        </is>
      </c>
      <c r="B18" s="11" t="inlineStr">
        <is>
          <t>Base al inicio del mes</t>
        </is>
      </c>
      <c r="C18" s="25" t="n">
        <v>0</v>
      </c>
      <c r="D18" s="25">
        <f>C22</f>
        <v/>
      </c>
      <c r="E18" s="25">
        <f>D22</f>
        <v/>
      </c>
      <c r="F18" s="25">
        <f>E22</f>
        <v/>
      </c>
      <c r="G18" s="25">
        <f>F22</f>
        <v/>
      </c>
      <c r="H18" s="25">
        <f>G22</f>
        <v/>
      </c>
      <c r="I18" s="25">
        <f>H22</f>
        <v/>
      </c>
      <c r="J18" s="25">
        <f>I22</f>
        <v/>
      </c>
      <c r="K18" s="25">
        <f>J22</f>
        <v/>
      </c>
      <c r="L18" s="25">
        <f>K22</f>
        <v/>
      </c>
      <c r="M18" s="25">
        <f>L22</f>
        <v/>
      </c>
      <c r="N18" s="25">
        <f>M22</f>
        <v/>
      </c>
      <c r="P18" s="25">
        <f>N22</f>
        <v/>
      </c>
      <c r="Q18" s="25">
        <f>P22</f>
        <v/>
      </c>
      <c r="R18" s="25">
        <f>Q22</f>
        <v/>
      </c>
      <c r="S18" s="25">
        <f>R22</f>
        <v/>
      </c>
      <c r="T18" s="25">
        <f>S22</f>
        <v/>
      </c>
      <c r="U18" s="25">
        <f>T22</f>
        <v/>
      </c>
      <c r="V18" s="25">
        <f>U22</f>
        <v/>
      </c>
      <c r="W18" s="25">
        <f>V22</f>
        <v/>
      </c>
      <c r="X18" s="25">
        <f>W22</f>
        <v/>
      </c>
      <c r="Y18" s="25">
        <f>X22</f>
        <v/>
      </c>
      <c r="Z18" s="25">
        <f>Y22</f>
        <v/>
      </c>
      <c r="AA18" s="25">
        <f>Z22</f>
        <v/>
      </c>
      <c r="AC18" s="25">
        <f>AA22</f>
        <v/>
      </c>
      <c r="AD18" s="25">
        <f>AC22</f>
        <v/>
      </c>
      <c r="AE18" s="25">
        <f>AD22</f>
        <v/>
      </c>
      <c r="AF18" s="25">
        <f>AE22</f>
        <v/>
      </c>
      <c r="AG18" s="25">
        <f>AF22</f>
        <v/>
      </c>
      <c r="AH18" s="25">
        <f>AG22</f>
        <v/>
      </c>
      <c r="AI18" s="25">
        <f>AH22</f>
        <v/>
      </c>
      <c r="AJ18" s="25">
        <f>AI22</f>
        <v/>
      </c>
      <c r="AK18" s="25">
        <f>AJ22</f>
        <v/>
      </c>
      <c r="AL18" s="25">
        <f>AK22</f>
        <v/>
      </c>
      <c r="AM18" s="25">
        <f>AL22</f>
        <v/>
      </c>
      <c r="AN18" s="25">
        <f>AM22</f>
        <v/>
      </c>
      <c r="AP18" s="25">
        <f>AN22</f>
        <v/>
      </c>
      <c r="AQ18" s="25">
        <f>AP22</f>
        <v/>
      </c>
      <c r="AR18" s="25">
        <f>AQ22</f>
        <v/>
      </c>
      <c r="AS18" s="25">
        <f>AR22</f>
        <v/>
      </c>
      <c r="AT18" s="25">
        <f>AS22</f>
        <v/>
      </c>
      <c r="AU18" s="25">
        <f>AT22</f>
        <v/>
      </c>
      <c r="AV18" s="25">
        <f>AU22</f>
        <v/>
      </c>
      <c r="AW18" s="25">
        <f>AV22</f>
        <v/>
      </c>
      <c r="AX18" s="25">
        <f>AW22</f>
        <v/>
      </c>
      <c r="AY18" s="25">
        <f>AX22</f>
        <v/>
      </c>
      <c r="AZ18" s="25">
        <f>AY22</f>
        <v/>
      </c>
      <c r="BA18" s="25">
        <f>AZ22</f>
        <v/>
      </c>
    </row>
    <row r="19">
      <c r="B19" s="11" t="inlineStr">
        <is>
          <t xml:space="preserve">    Altas por embudo directo</t>
        </is>
      </c>
      <c r="C19" s="25">
        <f>C15</f>
        <v/>
      </c>
      <c r="D19" s="25">
        <f>D15</f>
        <v/>
      </c>
      <c r="E19" s="25">
        <f>E15</f>
        <v/>
      </c>
      <c r="F19" s="25">
        <f>F15</f>
        <v/>
      </c>
      <c r="G19" s="25">
        <f>G15</f>
        <v/>
      </c>
      <c r="H19" s="25">
        <f>H15</f>
        <v/>
      </c>
      <c r="I19" s="25">
        <f>I15</f>
        <v/>
      </c>
      <c r="J19" s="25">
        <f>J15</f>
        <v/>
      </c>
      <c r="K19" s="25">
        <f>K15</f>
        <v/>
      </c>
      <c r="L19" s="25">
        <f>L15</f>
        <v/>
      </c>
      <c r="M19" s="25">
        <f>M15</f>
        <v/>
      </c>
      <c r="N19" s="25">
        <f>N15</f>
        <v/>
      </c>
      <c r="O19" s="26">
        <f>SUM(C19:N19)</f>
        <v/>
      </c>
      <c r="P19" s="25">
        <f>P15</f>
        <v/>
      </c>
      <c r="Q19" s="25">
        <f>Q15</f>
        <v/>
      </c>
      <c r="R19" s="25">
        <f>R15</f>
        <v/>
      </c>
      <c r="S19" s="25">
        <f>S15</f>
        <v/>
      </c>
      <c r="T19" s="25">
        <f>T15</f>
        <v/>
      </c>
      <c r="U19" s="25">
        <f>U15</f>
        <v/>
      </c>
      <c r="V19" s="25">
        <f>V15</f>
        <v/>
      </c>
      <c r="W19" s="25">
        <f>W15</f>
        <v/>
      </c>
      <c r="X19" s="25">
        <f>X15</f>
        <v/>
      </c>
      <c r="Y19" s="25">
        <f>Y15</f>
        <v/>
      </c>
      <c r="Z19" s="25">
        <f>Z15</f>
        <v/>
      </c>
      <c r="AA19" s="25">
        <f>AA15</f>
        <v/>
      </c>
      <c r="AB19" s="26">
        <f>SUM(P19:AA19)</f>
        <v/>
      </c>
      <c r="AC19" s="25">
        <f>AC15</f>
        <v/>
      </c>
      <c r="AD19" s="25">
        <f>AD15</f>
        <v/>
      </c>
      <c r="AE19" s="25">
        <f>AE15</f>
        <v/>
      </c>
      <c r="AF19" s="25">
        <f>AF15</f>
        <v/>
      </c>
      <c r="AG19" s="25">
        <f>AG15</f>
        <v/>
      </c>
      <c r="AH19" s="25">
        <f>AH15</f>
        <v/>
      </c>
      <c r="AI19" s="25">
        <f>AI15</f>
        <v/>
      </c>
      <c r="AJ19" s="25">
        <f>AJ15</f>
        <v/>
      </c>
      <c r="AK19" s="25">
        <f>AK15</f>
        <v/>
      </c>
      <c r="AL19" s="25">
        <f>AL15</f>
        <v/>
      </c>
      <c r="AM19" s="25">
        <f>AM15</f>
        <v/>
      </c>
      <c r="AN19" s="25">
        <f>AN15</f>
        <v/>
      </c>
      <c r="AO19" s="26">
        <f>SUM(AC19:AN19)</f>
        <v/>
      </c>
      <c r="AP19" s="25">
        <f>AP15</f>
        <v/>
      </c>
      <c r="AQ19" s="25">
        <f>AQ15</f>
        <v/>
      </c>
      <c r="AR19" s="25">
        <f>AR15</f>
        <v/>
      </c>
      <c r="AS19" s="25">
        <f>AS15</f>
        <v/>
      </c>
      <c r="AT19" s="25">
        <f>AT15</f>
        <v/>
      </c>
      <c r="AU19" s="25">
        <f>AU15</f>
        <v/>
      </c>
      <c r="AV19" s="25">
        <f>AV15</f>
        <v/>
      </c>
      <c r="AW19" s="25">
        <f>AW15</f>
        <v/>
      </c>
      <c r="AX19" s="25">
        <f>AX15</f>
        <v/>
      </c>
      <c r="AY19" s="25">
        <f>AY15</f>
        <v/>
      </c>
      <c r="AZ19" s="25">
        <f>AZ15</f>
        <v/>
      </c>
      <c r="BA19" s="25">
        <f>BA15</f>
        <v/>
      </c>
      <c r="BB19" s="26">
        <f>SUM(AP19:BA19)</f>
        <v/>
      </c>
    </row>
    <row r="20">
      <c r="B20" s="11" t="inlineStr">
        <is>
          <t xml:space="preserve">    Altas por conversión de pilotos</t>
        </is>
      </c>
      <c r="C20" s="25">
        <f>IF(AND(1=Hipótesis!$C$35,1=1),Hipótesis!$C$33*Hipótesis!$C$34,0)</f>
        <v/>
      </c>
      <c r="D20" s="25">
        <f>IF(AND(2=Hipótesis!$C$35,1=1),Hipótesis!$C$33*Hipótesis!$C$34,0)</f>
        <v/>
      </c>
      <c r="E20" s="25">
        <f>IF(AND(3=Hipótesis!$C$35,1=1),Hipótesis!$C$33*Hipótesis!$C$34,0)</f>
        <v/>
      </c>
      <c r="F20" s="25">
        <f>IF(AND(4=Hipótesis!$C$35,1=1),Hipótesis!$C$33*Hipótesis!$C$34,0)</f>
        <v/>
      </c>
      <c r="G20" s="25">
        <f>IF(AND(5=Hipótesis!$C$35,1=1),Hipótesis!$C$33*Hipótesis!$C$34,0)</f>
        <v/>
      </c>
      <c r="H20" s="25">
        <f>IF(AND(6=Hipótesis!$C$35,1=1),Hipótesis!$C$33*Hipótesis!$C$34,0)</f>
        <v/>
      </c>
      <c r="I20" s="25">
        <f>IF(AND(7=Hipótesis!$C$35,1=1),Hipótesis!$C$33*Hipótesis!$C$34,0)</f>
        <v/>
      </c>
      <c r="J20" s="25">
        <f>IF(AND(8=Hipótesis!$C$35,1=1),Hipótesis!$C$33*Hipótesis!$C$34,0)</f>
        <v/>
      </c>
      <c r="K20" s="25">
        <f>IF(AND(9=Hipótesis!$C$35,1=1),Hipótesis!$C$33*Hipótesis!$C$34,0)</f>
        <v/>
      </c>
      <c r="L20" s="25">
        <f>IF(AND(10=Hipótesis!$C$35,1=1),Hipótesis!$C$33*Hipótesis!$C$34,0)</f>
        <v/>
      </c>
      <c r="M20" s="25">
        <f>IF(AND(11=Hipótesis!$C$35,1=1),Hipótesis!$C$33*Hipótesis!$C$34,0)</f>
        <v/>
      </c>
      <c r="N20" s="25">
        <f>IF(AND(12=Hipótesis!$C$35,1=1),Hipótesis!$C$33*Hipótesis!$C$34,0)</f>
        <v/>
      </c>
      <c r="O20" s="26">
        <f>SUM(C20:N20)</f>
        <v/>
      </c>
      <c r="P20" s="25">
        <f>IF(AND(13=Hipótesis!$C$35,2=1),Hipótesis!$C$33*Hipótesis!$C$34,0)</f>
        <v/>
      </c>
      <c r="Q20" s="25">
        <f>IF(AND(14=Hipótesis!$C$35,2=1),Hipótesis!$C$33*Hipótesis!$C$34,0)</f>
        <v/>
      </c>
      <c r="R20" s="25">
        <f>IF(AND(15=Hipótesis!$C$35,2=1),Hipótesis!$C$33*Hipótesis!$C$34,0)</f>
        <v/>
      </c>
      <c r="S20" s="25">
        <f>IF(AND(16=Hipótesis!$C$35,2=1),Hipótesis!$C$33*Hipótesis!$C$34,0)</f>
        <v/>
      </c>
      <c r="T20" s="25">
        <f>IF(AND(17=Hipótesis!$C$35,2=1),Hipótesis!$C$33*Hipótesis!$C$34,0)</f>
        <v/>
      </c>
      <c r="U20" s="25">
        <f>IF(AND(18=Hipótesis!$C$35,2=1),Hipótesis!$C$33*Hipótesis!$C$34,0)</f>
        <v/>
      </c>
      <c r="V20" s="25">
        <f>IF(AND(19=Hipótesis!$C$35,2=1),Hipótesis!$C$33*Hipótesis!$C$34,0)</f>
        <v/>
      </c>
      <c r="W20" s="25">
        <f>IF(AND(20=Hipótesis!$C$35,2=1),Hipótesis!$C$33*Hipótesis!$C$34,0)</f>
        <v/>
      </c>
      <c r="X20" s="25">
        <f>IF(AND(21=Hipótesis!$C$35,2=1),Hipótesis!$C$33*Hipótesis!$C$34,0)</f>
        <v/>
      </c>
      <c r="Y20" s="25">
        <f>IF(AND(22=Hipótesis!$C$35,2=1),Hipótesis!$C$33*Hipótesis!$C$34,0)</f>
        <v/>
      </c>
      <c r="Z20" s="25">
        <f>IF(AND(23=Hipótesis!$C$35,2=1),Hipótesis!$C$33*Hipótesis!$C$34,0)</f>
        <v/>
      </c>
      <c r="AA20" s="25">
        <f>IF(AND(24=Hipótesis!$C$35,2=1),Hipótesis!$C$33*Hipótesis!$C$34,0)</f>
        <v/>
      </c>
      <c r="AB20" s="26">
        <f>SUM(P20:AA20)</f>
        <v/>
      </c>
      <c r="AC20" s="25">
        <f>IF(AND(25=Hipótesis!$C$35,3=1),Hipótesis!$C$33*Hipótesis!$C$34,0)</f>
        <v/>
      </c>
      <c r="AD20" s="25">
        <f>IF(AND(26=Hipótesis!$C$35,3=1),Hipótesis!$C$33*Hipótesis!$C$34,0)</f>
        <v/>
      </c>
      <c r="AE20" s="25">
        <f>IF(AND(27=Hipótesis!$C$35,3=1),Hipótesis!$C$33*Hipótesis!$C$34,0)</f>
        <v/>
      </c>
      <c r="AF20" s="25">
        <f>IF(AND(28=Hipótesis!$C$35,3=1),Hipótesis!$C$33*Hipótesis!$C$34,0)</f>
        <v/>
      </c>
      <c r="AG20" s="25">
        <f>IF(AND(29=Hipótesis!$C$35,3=1),Hipótesis!$C$33*Hipótesis!$C$34,0)</f>
        <v/>
      </c>
      <c r="AH20" s="25">
        <f>IF(AND(30=Hipótesis!$C$35,3=1),Hipótesis!$C$33*Hipótesis!$C$34,0)</f>
        <v/>
      </c>
      <c r="AI20" s="25">
        <f>IF(AND(31=Hipótesis!$C$35,3=1),Hipótesis!$C$33*Hipótesis!$C$34,0)</f>
        <v/>
      </c>
      <c r="AJ20" s="25">
        <f>IF(AND(32=Hipótesis!$C$35,3=1),Hipótesis!$C$33*Hipótesis!$C$34,0)</f>
        <v/>
      </c>
      <c r="AK20" s="25">
        <f>IF(AND(33=Hipótesis!$C$35,3=1),Hipótesis!$C$33*Hipótesis!$C$34,0)</f>
        <v/>
      </c>
      <c r="AL20" s="25">
        <f>IF(AND(34=Hipótesis!$C$35,3=1),Hipótesis!$C$33*Hipótesis!$C$34,0)</f>
        <v/>
      </c>
      <c r="AM20" s="25">
        <f>IF(AND(35=Hipótesis!$C$35,3=1),Hipótesis!$C$33*Hipótesis!$C$34,0)</f>
        <v/>
      </c>
      <c r="AN20" s="25">
        <f>IF(AND(36=Hipótesis!$C$35,3=1),Hipótesis!$C$33*Hipótesis!$C$34,0)</f>
        <v/>
      </c>
      <c r="AO20" s="26">
        <f>SUM(AC20:AN20)</f>
        <v/>
      </c>
      <c r="AP20" s="25">
        <f>IF(AND(37=Hipótesis!$C$35,4=1),Hipótesis!$C$33*Hipótesis!$C$34,0)</f>
        <v/>
      </c>
      <c r="AQ20" s="25">
        <f>IF(AND(38=Hipótesis!$C$35,4=1),Hipótesis!$C$33*Hipótesis!$C$34,0)</f>
        <v/>
      </c>
      <c r="AR20" s="25">
        <f>IF(AND(39=Hipótesis!$C$35,4=1),Hipótesis!$C$33*Hipótesis!$C$34,0)</f>
        <v/>
      </c>
      <c r="AS20" s="25">
        <f>IF(AND(40=Hipótesis!$C$35,4=1),Hipótesis!$C$33*Hipótesis!$C$34,0)</f>
        <v/>
      </c>
      <c r="AT20" s="25">
        <f>IF(AND(41=Hipótesis!$C$35,4=1),Hipótesis!$C$33*Hipótesis!$C$34,0)</f>
        <v/>
      </c>
      <c r="AU20" s="25">
        <f>IF(AND(42=Hipótesis!$C$35,4=1),Hipótesis!$C$33*Hipótesis!$C$34,0)</f>
        <v/>
      </c>
      <c r="AV20" s="25">
        <f>IF(AND(43=Hipótesis!$C$35,4=1),Hipótesis!$C$33*Hipótesis!$C$34,0)</f>
        <v/>
      </c>
      <c r="AW20" s="25">
        <f>IF(AND(44=Hipótesis!$C$35,4=1),Hipótesis!$C$33*Hipótesis!$C$34,0)</f>
        <v/>
      </c>
      <c r="AX20" s="25">
        <f>IF(AND(45=Hipótesis!$C$35,4=1),Hipótesis!$C$33*Hipótesis!$C$34,0)</f>
        <v/>
      </c>
      <c r="AY20" s="25">
        <f>IF(AND(46=Hipótesis!$C$35,4=1),Hipótesis!$C$33*Hipótesis!$C$34,0)</f>
        <v/>
      </c>
      <c r="AZ20" s="25">
        <f>IF(AND(47=Hipótesis!$C$35,4=1),Hipótesis!$C$33*Hipótesis!$C$34,0)</f>
        <v/>
      </c>
      <c r="BA20" s="25">
        <f>IF(AND(48=Hipótesis!$C$35,4=1),Hipótesis!$C$33*Hipótesis!$C$34,0)</f>
        <v/>
      </c>
      <c r="BB20" s="26">
        <f>SUM(AP20:BA20)</f>
        <v/>
      </c>
    </row>
    <row r="21">
      <c r="B21" s="11" t="inlineStr">
        <is>
          <t xml:space="preserve">    Bajas</t>
        </is>
      </c>
      <c r="C21" s="25">
        <f>-C18*Hipótesis!$C$40</f>
        <v/>
      </c>
      <c r="D21" s="25">
        <f>-D18*Hipótesis!$C$40</f>
        <v/>
      </c>
      <c r="E21" s="25">
        <f>-E18*Hipótesis!$C$40</f>
        <v/>
      </c>
      <c r="F21" s="25">
        <f>-F18*Hipótesis!$C$40</f>
        <v/>
      </c>
      <c r="G21" s="25">
        <f>-G18*Hipótesis!$C$40</f>
        <v/>
      </c>
      <c r="H21" s="25">
        <f>-H18*Hipótesis!$C$40</f>
        <v/>
      </c>
      <c r="I21" s="25">
        <f>-I18*Hipótesis!$C$40</f>
        <v/>
      </c>
      <c r="J21" s="25">
        <f>-J18*Hipótesis!$C$40</f>
        <v/>
      </c>
      <c r="K21" s="25">
        <f>-K18*Hipótesis!$C$40</f>
        <v/>
      </c>
      <c r="L21" s="25">
        <f>-L18*Hipótesis!$C$40</f>
        <v/>
      </c>
      <c r="M21" s="25">
        <f>-M18*Hipótesis!$C$40</f>
        <v/>
      </c>
      <c r="N21" s="25">
        <f>-N18*Hipótesis!$C$40</f>
        <v/>
      </c>
      <c r="O21" s="26">
        <f>SUM(C21:N21)</f>
        <v/>
      </c>
      <c r="P21" s="25">
        <f>-P18*Hipótesis!$D$40</f>
        <v/>
      </c>
      <c r="Q21" s="25">
        <f>-Q18*Hipótesis!$D$40</f>
        <v/>
      </c>
      <c r="R21" s="25">
        <f>-R18*Hipótesis!$D$40</f>
        <v/>
      </c>
      <c r="S21" s="25">
        <f>-S18*Hipótesis!$D$40</f>
        <v/>
      </c>
      <c r="T21" s="25">
        <f>-T18*Hipótesis!$D$40</f>
        <v/>
      </c>
      <c r="U21" s="25">
        <f>-U18*Hipótesis!$D$40</f>
        <v/>
      </c>
      <c r="V21" s="25">
        <f>-V18*Hipótesis!$D$40</f>
        <v/>
      </c>
      <c r="W21" s="25">
        <f>-W18*Hipótesis!$D$40</f>
        <v/>
      </c>
      <c r="X21" s="25">
        <f>-X18*Hipótesis!$D$40</f>
        <v/>
      </c>
      <c r="Y21" s="25">
        <f>-Y18*Hipótesis!$D$40</f>
        <v/>
      </c>
      <c r="Z21" s="25">
        <f>-Z18*Hipótesis!$D$40</f>
        <v/>
      </c>
      <c r="AA21" s="25">
        <f>-AA18*Hipótesis!$D$40</f>
        <v/>
      </c>
      <c r="AB21" s="26">
        <f>SUM(P21:AA21)</f>
        <v/>
      </c>
      <c r="AC21" s="25">
        <f>-AC18*Hipótesis!$E$40</f>
        <v/>
      </c>
      <c r="AD21" s="25">
        <f>-AD18*Hipótesis!$E$40</f>
        <v/>
      </c>
      <c r="AE21" s="25">
        <f>-AE18*Hipótesis!$E$40</f>
        <v/>
      </c>
      <c r="AF21" s="25">
        <f>-AF18*Hipótesis!$E$40</f>
        <v/>
      </c>
      <c r="AG21" s="25">
        <f>-AG18*Hipótesis!$E$40</f>
        <v/>
      </c>
      <c r="AH21" s="25">
        <f>-AH18*Hipótesis!$E$40</f>
        <v/>
      </c>
      <c r="AI21" s="25">
        <f>-AI18*Hipótesis!$E$40</f>
        <v/>
      </c>
      <c r="AJ21" s="25">
        <f>-AJ18*Hipótesis!$E$40</f>
        <v/>
      </c>
      <c r="AK21" s="25">
        <f>-AK18*Hipótesis!$E$40</f>
        <v/>
      </c>
      <c r="AL21" s="25">
        <f>-AL18*Hipótesis!$E$40</f>
        <v/>
      </c>
      <c r="AM21" s="25">
        <f>-AM18*Hipótesis!$E$40</f>
        <v/>
      </c>
      <c r="AN21" s="25">
        <f>-AN18*Hipótesis!$E$40</f>
        <v/>
      </c>
      <c r="AO21" s="26">
        <f>SUM(AC21:AN21)</f>
        <v/>
      </c>
      <c r="AP21" s="25">
        <f>-AP18*Hipótesis!$F$40</f>
        <v/>
      </c>
      <c r="AQ21" s="25">
        <f>-AQ18*Hipótesis!$F$40</f>
        <v/>
      </c>
      <c r="AR21" s="25">
        <f>-AR18*Hipótesis!$F$40</f>
        <v/>
      </c>
      <c r="AS21" s="25">
        <f>-AS18*Hipótesis!$F$40</f>
        <v/>
      </c>
      <c r="AT21" s="25">
        <f>-AT18*Hipótesis!$F$40</f>
        <v/>
      </c>
      <c r="AU21" s="25">
        <f>-AU18*Hipótesis!$F$40</f>
        <v/>
      </c>
      <c r="AV21" s="25">
        <f>-AV18*Hipótesis!$F$40</f>
        <v/>
      </c>
      <c r="AW21" s="25">
        <f>-AW18*Hipótesis!$F$40</f>
        <v/>
      </c>
      <c r="AX21" s="25">
        <f>-AX18*Hipótesis!$F$40</f>
        <v/>
      </c>
      <c r="AY21" s="25">
        <f>-AY18*Hipótesis!$F$40</f>
        <v/>
      </c>
      <c r="AZ21" s="25">
        <f>-AZ18*Hipótesis!$F$40</f>
        <v/>
      </c>
      <c r="BA21" s="25">
        <f>-BA18*Hipótesis!$F$40</f>
        <v/>
      </c>
      <c r="BB21" s="26">
        <f>SUM(AP21:BA21)</f>
        <v/>
      </c>
    </row>
    <row r="22">
      <c r="B22" s="16" t="inlineStr">
        <is>
          <t>Base activa al cierre</t>
        </is>
      </c>
      <c r="C22" s="27">
        <f>SUM(C18:C21)</f>
        <v/>
      </c>
      <c r="D22" s="27">
        <f>SUM(D18:D21)</f>
        <v/>
      </c>
      <c r="E22" s="27">
        <f>SUM(E18:E21)</f>
        <v/>
      </c>
      <c r="F22" s="27">
        <f>SUM(F18:F21)</f>
        <v/>
      </c>
      <c r="G22" s="27">
        <f>SUM(G18:G21)</f>
        <v/>
      </c>
      <c r="H22" s="27">
        <f>SUM(H18:H21)</f>
        <v/>
      </c>
      <c r="I22" s="27">
        <f>SUM(I18:I21)</f>
        <v/>
      </c>
      <c r="J22" s="27">
        <f>SUM(J18:J21)</f>
        <v/>
      </c>
      <c r="K22" s="27">
        <f>SUM(K18:K21)</f>
        <v/>
      </c>
      <c r="L22" s="27">
        <f>SUM(L18:L21)</f>
        <v/>
      </c>
      <c r="M22" s="27">
        <f>SUM(M18:M21)</f>
        <v/>
      </c>
      <c r="N22" s="27">
        <f>SUM(N18:N21)</f>
        <v/>
      </c>
      <c r="O22" s="26">
        <f>N22</f>
        <v/>
      </c>
      <c r="P22" s="27">
        <f>SUM(P18:P21)</f>
        <v/>
      </c>
      <c r="Q22" s="27">
        <f>SUM(Q18:Q21)</f>
        <v/>
      </c>
      <c r="R22" s="27">
        <f>SUM(R18:R21)</f>
        <v/>
      </c>
      <c r="S22" s="27">
        <f>SUM(S18:S21)</f>
        <v/>
      </c>
      <c r="T22" s="27">
        <f>SUM(T18:T21)</f>
        <v/>
      </c>
      <c r="U22" s="27">
        <f>SUM(U18:U21)</f>
        <v/>
      </c>
      <c r="V22" s="27">
        <f>SUM(V18:V21)</f>
        <v/>
      </c>
      <c r="W22" s="27">
        <f>SUM(W18:W21)</f>
        <v/>
      </c>
      <c r="X22" s="27">
        <f>SUM(X18:X21)</f>
        <v/>
      </c>
      <c r="Y22" s="27">
        <f>SUM(Y18:Y21)</f>
        <v/>
      </c>
      <c r="Z22" s="27">
        <f>SUM(Z18:Z21)</f>
        <v/>
      </c>
      <c r="AA22" s="27">
        <f>SUM(AA18:AA21)</f>
        <v/>
      </c>
      <c r="AB22" s="26">
        <f>AA22</f>
        <v/>
      </c>
      <c r="AC22" s="27">
        <f>SUM(AC18:AC21)</f>
        <v/>
      </c>
      <c r="AD22" s="27">
        <f>SUM(AD18:AD21)</f>
        <v/>
      </c>
      <c r="AE22" s="27">
        <f>SUM(AE18:AE21)</f>
        <v/>
      </c>
      <c r="AF22" s="27">
        <f>SUM(AF18:AF21)</f>
        <v/>
      </c>
      <c r="AG22" s="27">
        <f>SUM(AG18:AG21)</f>
        <v/>
      </c>
      <c r="AH22" s="27">
        <f>SUM(AH18:AH21)</f>
        <v/>
      </c>
      <c r="AI22" s="27">
        <f>SUM(AI18:AI21)</f>
        <v/>
      </c>
      <c r="AJ22" s="27">
        <f>SUM(AJ18:AJ21)</f>
        <v/>
      </c>
      <c r="AK22" s="27">
        <f>SUM(AK18:AK21)</f>
        <v/>
      </c>
      <c r="AL22" s="27">
        <f>SUM(AL18:AL21)</f>
        <v/>
      </c>
      <c r="AM22" s="27">
        <f>SUM(AM18:AM21)</f>
        <v/>
      </c>
      <c r="AN22" s="27">
        <f>SUM(AN18:AN21)</f>
        <v/>
      </c>
      <c r="AO22" s="26">
        <f>AN22</f>
        <v/>
      </c>
      <c r="AP22" s="27">
        <f>SUM(AP18:AP21)</f>
        <v/>
      </c>
      <c r="AQ22" s="27">
        <f>SUM(AQ18:AQ21)</f>
        <v/>
      </c>
      <c r="AR22" s="27">
        <f>SUM(AR18:AR21)</f>
        <v/>
      </c>
      <c r="AS22" s="27">
        <f>SUM(AS18:AS21)</f>
        <v/>
      </c>
      <c r="AT22" s="27">
        <f>SUM(AT18:AT21)</f>
        <v/>
      </c>
      <c r="AU22" s="27">
        <f>SUM(AU18:AU21)</f>
        <v/>
      </c>
      <c r="AV22" s="27">
        <f>SUM(AV18:AV21)</f>
        <v/>
      </c>
      <c r="AW22" s="27">
        <f>SUM(AW18:AW21)</f>
        <v/>
      </c>
      <c r="AX22" s="27">
        <f>SUM(AX18:AX21)</f>
        <v/>
      </c>
      <c r="AY22" s="27">
        <f>SUM(AY18:AY21)</f>
        <v/>
      </c>
      <c r="AZ22" s="27">
        <f>SUM(AZ18:AZ21)</f>
        <v/>
      </c>
      <c r="BA22" s="27">
        <f>SUM(BA18:BA21)</f>
        <v/>
      </c>
      <c r="BB22" s="26">
        <f>BA22</f>
        <v/>
      </c>
    </row>
    <row r="23"/>
    <row r="24">
      <c r="B24" s="39" t="inlineStr">
        <is>
          <t>Plan Estándar — Segmento B</t>
        </is>
      </c>
      <c r="H24" s="3" t="inlineStr">
        <is>
          <t>Las altas del Segmento B son un supuesto directo: ciclo de venta de 60 a 90 días (5.3.5) y el primer cliente en la Etapa E3.</t>
        </is>
      </c>
    </row>
    <row r="25">
      <c r="B25" s="11" t="inlineStr">
        <is>
          <t>Altas por año (supuesto)</t>
        </is>
      </c>
      <c r="C25" s="14" t="n">
        <v>1.2</v>
      </c>
      <c r="D25" s="14" t="n">
        <v>4.8</v>
      </c>
      <c r="E25" s="14" t="n">
        <v>9.6</v>
      </c>
      <c r="F25" s="14" t="n">
        <v>14.4</v>
      </c>
      <c r="H25" s="3" t="inlineStr">
        <is>
          <t>Total de clientes nuevos del Plan Estándar en cada año</t>
        </is>
      </c>
    </row>
    <row r="26">
      <c r="A26" s="16" t="inlineStr">
        <is>
          <t>PLAN ESTÁNDAR</t>
        </is>
      </c>
      <c r="B26" s="11" t="inlineStr">
        <is>
          <t>Base al inicio del mes</t>
        </is>
      </c>
      <c r="C26" s="25" t="n">
        <v>0</v>
      </c>
      <c r="D26" s="25">
        <f>C29</f>
        <v/>
      </c>
      <c r="E26" s="25">
        <f>D29</f>
        <v/>
      </c>
      <c r="F26" s="25">
        <f>E29</f>
        <v/>
      </c>
      <c r="G26" s="25">
        <f>F29</f>
        <v/>
      </c>
      <c r="H26" s="25">
        <f>G29</f>
        <v/>
      </c>
      <c r="I26" s="25">
        <f>H29</f>
        <v/>
      </c>
      <c r="J26" s="25">
        <f>I29</f>
        <v/>
      </c>
      <c r="K26" s="25">
        <f>J29</f>
        <v/>
      </c>
      <c r="L26" s="25">
        <f>K29</f>
        <v/>
      </c>
      <c r="M26" s="25">
        <f>L29</f>
        <v/>
      </c>
      <c r="N26" s="25">
        <f>M29</f>
        <v/>
      </c>
      <c r="P26" s="25">
        <f>N29</f>
        <v/>
      </c>
      <c r="Q26" s="25">
        <f>P29</f>
        <v/>
      </c>
      <c r="R26" s="25">
        <f>Q29</f>
        <v/>
      </c>
      <c r="S26" s="25">
        <f>R29</f>
        <v/>
      </c>
      <c r="T26" s="25">
        <f>S29</f>
        <v/>
      </c>
      <c r="U26" s="25">
        <f>T29</f>
        <v/>
      </c>
      <c r="V26" s="25">
        <f>U29</f>
        <v/>
      </c>
      <c r="W26" s="25">
        <f>V29</f>
        <v/>
      </c>
      <c r="X26" s="25">
        <f>W29</f>
        <v/>
      </c>
      <c r="Y26" s="25">
        <f>X29</f>
        <v/>
      </c>
      <c r="Z26" s="25">
        <f>Y29</f>
        <v/>
      </c>
      <c r="AA26" s="25">
        <f>Z29</f>
        <v/>
      </c>
      <c r="AC26" s="25">
        <f>AA29</f>
        <v/>
      </c>
      <c r="AD26" s="25">
        <f>AC29</f>
        <v/>
      </c>
      <c r="AE26" s="25">
        <f>AD29</f>
        <v/>
      </c>
      <c r="AF26" s="25">
        <f>AE29</f>
        <v/>
      </c>
      <c r="AG26" s="25">
        <f>AF29</f>
        <v/>
      </c>
      <c r="AH26" s="25">
        <f>AG29</f>
        <v/>
      </c>
      <c r="AI26" s="25">
        <f>AH29</f>
        <v/>
      </c>
      <c r="AJ26" s="25">
        <f>AI29</f>
        <v/>
      </c>
      <c r="AK26" s="25">
        <f>AJ29</f>
        <v/>
      </c>
      <c r="AL26" s="25">
        <f>AK29</f>
        <v/>
      </c>
      <c r="AM26" s="25">
        <f>AL29</f>
        <v/>
      </c>
      <c r="AN26" s="25">
        <f>AM29</f>
        <v/>
      </c>
      <c r="AP26" s="25">
        <f>AN29</f>
        <v/>
      </c>
      <c r="AQ26" s="25">
        <f>AP29</f>
        <v/>
      </c>
      <c r="AR26" s="25">
        <f>AQ29</f>
        <v/>
      </c>
      <c r="AS26" s="25">
        <f>AR29</f>
        <v/>
      </c>
      <c r="AT26" s="25">
        <f>AS29</f>
        <v/>
      </c>
      <c r="AU26" s="25">
        <f>AT29</f>
        <v/>
      </c>
      <c r="AV26" s="25">
        <f>AU29</f>
        <v/>
      </c>
      <c r="AW26" s="25">
        <f>AV29</f>
        <v/>
      </c>
      <c r="AX26" s="25">
        <f>AW29</f>
        <v/>
      </c>
      <c r="AY26" s="25">
        <f>AX29</f>
        <v/>
      </c>
      <c r="AZ26" s="25">
        <f>AY29</f>
        <v/>
      </c>
      <c r="BA26" s="25">
        <f>AZ29</f>
        <v/>
      </c>
    </row>
    <row r="27">
      <c r="B27" s="11" t="inlineStr">
        <is>
          <t xml:space="preserve">    Altas</t>
        </is>
      </c>
      <c r="C27" s="25">
        <f>IF(1&lt;9,0,Hipótesis!$C$25/IF(1=1,4,12))</f>
        <v/>
      </c>
      <c r="D27" s="25">
        <f>IF(2&lt;9,0,Hipótesis!$C$25/IF(1=1,4,12))</f>
        <v/>
      </c>
      <c r="E27" s="25">
        <f>IF(3&lt;9,0,Hipótesis!$C$25/IF(1=1,4,12))</f>
        <v/>
      </c>
      <c r="F27" s="25">
        <f>IF(4&lt;9,0,Hipótesis!$C$25/IF(1=1,4,12))</f>
        <v/>
      </c>
      <c r="G27" s="25">
        <f>IF(5&lt;9,0,Hipótesis!$C$25/IF(1=1,4,12))</f>
        <v/>
      </c>
      <c r="H27" s="25">
        <f>IF(6&lt;9,0,Hipótesis!$C$25/IF(1=1,4,12))</f>
        <v/>
      </c>
      <c r="I27" s="25">
        <f>IF(7&lt;9,0,Hipótesis!$C$25/IF(1=1,4,12))</f>
        <v/>
      </c>
      <c r="J27" s="25">
        <f>IF(8&lt;9,0,Hipótesis!$C$25/IF(1=1,4,12))</f>
        <v/>
      </c>
      <c r="K27" s="25">
        <f>IF(9&lt;9,0,Hipótesis!$C$25/IF(1=1,4,12))</f>
        <v/>
      </c>
      <c r="L27" s="25">
        <f>IF(10&lt;9,0,Hipótesis!$C$25/IF(1=1,4,12))</f>
        <v/>
      </c>
      <c r="M27" s="25">
        <f>IF(11&lt;9,0,Hipótesis!$C$25/IF(1=1,4,12))</f>
        <v/>
      </c>
      <c r="N27" s="25">
        <f>IF(12&lt;9,0,Hipótesis!$C$25/IF(1=1,4,12))</f>
        <v/>
      </c>
      <c r="O27" s="26">
        <f>SUM(C27:N27)</f>
        <v/>
      </c>
      <c r="P27" s="25">
        <f>IF(13&lt;9,0,Hipótesis!$D$25/IF(2=1,4,12))</f>
        <v/>
      </c>
      <c r="Q27" s="25">
        <f>IF(14&lt;9,0,Hipótesis!$D$25/IF(2=1,4,12))</f>
        <v/>
      </c>
      <c r="R27" s="25">
        <f>IF(15&lt;9,0,Hipótesis!$D$25/IF(2=1,4,12))</f>
        <v/>
      </c>
      <c r="S27" s="25">
        <f>IF(16&lt;9,0,Hipótesis!$D$25/IF(2=1,4,12))</f>
        <v/>
      </c>
      <c r="T27" s="25">
        <f>IF(17&lt;9,0,Hipótesis!$D$25/IF(2=1,4,12))</f>
        <v/>
      </c>
      <c r="U27" s="25">
        <f>IF(18&lt;9,0,Hipótesis!$D$25/IF(2=1,4,12))</f>
        <v/>
      </c>
      <c r="V27" s="25">
        <f>IF(19&lt;9,0,Hipótesis!$D$25/IF(2=1,4,12))</f>
        <v/>
      </c>
      <c r="W27" s="25">
        <f>IF(20&lt;9,0,Hipótesis!$D$25/IF(2=1,4,12))</f>
        <v/>
      </c>
      <c r="X27" s="25">
        <f>IF(21&lt;9,0,Hipótesis!$D$25/IF(2=1,4,12))</f>
        <v/>
      </c>
      <c r="Y27" s="25">
        <f>IF(22&lt;9,0,Hipótesis!$D$25/IF(2=1,4,12))</f>
        <v/>
      </c>
      <c r="Z27" s="25">
        <f>IF(23&lt;9,0,Hipótesis!$D$25/IF(2=1,4,12))</f>
        <v/>
      </c>
      <c r="AA27" s="25">
        <f>IF(24&lt;9,0,Hipótesis!$D$25/IF(2=1,4,12))</f>
        <v/>
      </c>
      <c r="AB27" s="26">
        <f>SUM(P27:AA27)</f>
        <v/>
      </c>
      <c r="AC27" s="25">
        <f>IF(25&lt;9,0,Hipótesis!$E$25/IF(3=1,4,12))</f>
        <v/>
      </c>
      <c r="AD27" s="25">
        <f>IF(26&lt;9,0,Hipótesis!$E$25/IF(3=1,4,12))</f>
        <v/>
      </c>
      <c r="AE27" s="25">
        <f>IF(27&lt;9,0,Hipótesis!$E$25/IF(3=1,4,12))</f>
        <v/>
      </c>
      <c r="AF27" s="25">
        <f>IF(28&lt;9,0,Hipótesis!$E$25/IF(3=1,4,12))</f>
        <v/>
      </c>
      <c r="AG27" s="25">
        <f>IF(29&lt;9,0,Hipótesis!$E$25/IF(3=1,4,12))</f>
        <v/>
      </c>
      <c r="AH27" s="25">
        <f>IF(30&lt;9,0,Hipótesis!$E$25/IF(3=1,4,12))</f>
        <v/>
      </c>
      <c r="AI27" s="25">
        <f>IF(31&lt;9,0,Hipótesis!$E$25/IF(3=1,4,12))</f>
        <v/>
      </c>
      <c r="AJ27" s="25">
        <f>IF(32&lt;9,0,Hipótesis!$E$25/IF(3=1,4,12))</f>
        <v/>
      </c>
      <c r="AK27" s="25">
        <f>IF(33&lt;9,0,Hipótesis!$E$25/IF(3=1,4,12))</f>
        <v/>
      </c>
      <c r="AL27" s="25">
        <f>IF(34&lt;9,0,Hipótesis!$E$25/IF(3=1,4,12))</f>
        <v/>
      </c>
      <c r="AM27" s="25">
        <f>IF(35&lt;9,0,Hipótesis!$E$25/IF(3=1,4,12))</f>
        <v/>
      </c>
      <c r="AN27" s="25">
        <f>IF(36&lt;9,0,Hipótesis!$E$25/IF(3=1,4,12))</f>
        <v/>
      </c>
      <c r="AO27" s="26">
        <f>SUM(AC27:AN27)</f>
        <v/>
      </c>
      <c r="AP27" s="25">
        <f>IF(37&lt;9,0,Hipótesis!$F$25/IF(4=1,4,12))</f>
        <v/>
      </c>
      <c r="AQ27" s="25">
        <f>IF(38&lt;9,0,Hipótesis!$F$25/IF(4=1,4,12))</f>
        <v/>
      </c>
      <c r="AR27" s="25">
        <f>IF(39&lt;9,0,Hipótesis!$F$25/IF(4=1,4,12))</f>
        <v/>
      </c>
      <c r="AS27" s="25">
        <f>IF(40&lt;9,0,Hipótesis!$F$25/IF(4=1,4,12))</f>
        <v/>
      </c>
      <c r="AT27" s="25">
        <f>IF(41&lt;9,0,Hipótesis!$F$25/IF(4=1,4,12))</f>
        <v/>
      </c>
      <c r="AU27" s="25">
        <f>IF(42&lt;9,0,Hipótesis!$F$25/IF(4=1,4,12))</f>
        <v/>
      </c>
      <c r="AV27" s="25">
        <f>IF(43&lt;9,0,Hipótesis!$F$25/IF(4=1,4,12))</f>
        <v/>
      </c>
      <c r="AW27" s="25">
        <f>IF(44&lt;9,0,Hipótesis!$F$25/IF(4=1,4,12))</f>
        <v/>
      </c>
      <c r="AX27" s="25">
        <f>IF(45&lt;9,0,Hipótesis!$F$25/IF(4=1,4,12))</f>
        <v/>
      </c>
      <c r="AY27" s="25">
        <f>IF(46&lt;9,0,Hipótesis!$F$25/IF(4=1,4,12))</f>
        <v/>
      </c>
      <c r="AZ27" s="25">
        <f>IF(47&lt;9,0,Hipótesis!$F$25/IF(4=1,4,12))</f>
        <v/>
      </c>
      <c r="BA27" s="25">
        <f>IF(48&lt;9,0,Hipótesis!$F$25/IF(4=1,4,12))</f>
        <v/>
      </c>
      <c r="BB27" s="26">
        <f>SUM(AP27:BA27)</f>
        <v/>
      </c>
    </row>
    <row r="28">
      <c r="B28" s="11" t="inlineStr">
        <is>
          <t xml:space="preserve">    Bajas</t>
        </is>
      </c>
      <c r="C28" s="25">
        <f>-C26*Hipótesis!$C$40</f>
        <v/>
      </c>
      <c r="D28" s="25">
        <f>-D26*Hipótesis!$C$40</f>
        <v/>
      </c>
      <c r="E28" s="25">
        <f>-E26*Hipótesis!$C$40</f>
        <v/>
      </c>
      <c r="F28" s="25">
        <f>-F26*Hipótesis!$C$40</f>
        <v/>
      </c>
      <c r="G28" s="25">
        <f>-G26*Hipótesis!$C$40</f>
        <v/>
      </c>
      <c r="H28" s="25">
        <f>-H26*Hipótesis!$C$40</f>
        <v/>
      </c>
      <c r="I28" s="25">
        <f>-I26*Hipótesis!$C$40</f>
        <v/>
      </c>
      <c r="J28" s="25">
        <f>-J26*Hipótesis!$C$40</f>
        <v/>
      </c>
      <c r="K28" s="25">
        <f>-K26*Hipótesis!$C$40</f>
        <v/>
      </c>
      <c r="L28" s="25">
        <f>-L26*Hipótesis!$C$40</f>
        <v/>
      </c>
      <c r="M28" s="25">
        <f>-M26*Hipótesis!$C$40</f>
        <v/>
      </c>
      <c r="N28" s="25">
        <f>-N26*Hipótesis!$C$40</f>
        <v/>
      </c>
      <c r="O28" s="26">
        <f>SUM(C28:N28)</f>
        <v/>
      </c>
      <c r="P28" s="25">
        <f>-P26*Hipótesis!$D$40</f>
        <v/>
      </c>
      <c r="Q28" s="25">
        <f>-Q26*Hipótesis!$D$40</f>
        <v/>
      </c>
      <c r="R28" s="25">
        <f>-R26*Hipótesis!$D$40</f>
        <v/>
      </c>
      <c r="S28" s="25">
        <f>-S26*Hipótesis!$D$40</f>
        <v/>
      </c>
      <c r="T28" s="25">
        <f>-T26*Hipótesis!$D$40</f>
        <v/>
      </c>
      <c r="U28" s="25">
        <f>-U26*Hipótesis!$D$40</f>
        <v/>
      </c>
      <c r="V28" s="25">
        <f>-V26*Hipótesis!$D$40</f>
        <v/>
      </c>
      <c r="W28" s="25">
        <f>-W26*Hipótesis!$D$40</f>
        <v/>
      </c>
      <c r="X28" s="25">
        <f>-X26*Hipótesis!$D$40</f>
        <v/>
      </c>
      <c r="Y28" s="25">
        <f>-Y26*Hipótesis!$D$40</f>
        <v/>
      </c>
      <c r="Z28" s="25">
        <f>-Z26*Hipótesis!$D$40</f>
        <v/>
      </c>
      <c r="AA28" s="25">
        <f>-AA26*Hipótesis!$D$40</f>
        <v/>
      </c>
      <c r="AB28" s="26">
        <f>SUM(P28:AA28)</f>
        <v/>
      </c>
      <c r="AC28" s="25">
        <f>-AC26*Hipótesis!$E$40</f>
        <v/>
      </c>
      <c r="AD28" s="25">
        <f>-AD26*Hipótesis!$E$40</f>
        <v/>
      </c>
      <c r="AE28" s="25">
        <f>-AE26*Hipótesis!$E$40</f>
        <v/>
      </c>
      <c r="AF28" s="25">
        <f>-AF26*Hipótesis!$E$40</f>
        <v/>
      </c>
      <c r="AG28" s="25">
        <f>-AG26*Hipótesis!$E$40</f>
        <v/>
      </c>
      <c r="AH28" s="25">
        <f>-AH26*Hipótesis!$E$40</f>
        <v/>
      </c>
      <c r="AI28" s="25">
        <f>-AI26*Hipótesis!$E$40</f>
        <v/>
      </c>
      <c r="AJ28" s="25">
        <f>-AJ26*Hipótesis!$E$40</f>
        <v/>
      </c>
      <c r="AK28" s="25">
        <f>-AK26*Hipótesis!$E$40</f>
        <v/>
      </c>
      <c r="AL28" s="25">
        <f>-AL26*Hipótesis!$E$40</f>
        <v/>
      </c>
      <c r="AM28" s="25">
        <f>-AM26*Hipótesis!$E$40</f>
        <v/>
      </c>
      <c r="AN28" s="25">
        <f>-AN26*Hipótesis!$E$40</f>
        <v/>
      </c>
      <c r="AO28" s="26">
        <f>SUM(AC28:AN28)</f>
        <v/>
      </c>
      <c r="AP28" s="25">
        <f>-AP26*Hipótesis!$F$40</f>
        <v/>
      </c>
      <c r="AQ28" s="25">
        <f>-AQ26*Hipótesis!$F$40</f>
        <v/>
      </c>
      <c r="AR28" s="25">
        <f>-AR26*Hipótesis!$F$40</f>
        <v/>
      </c>
      <c r="AS28" s="25">
        <f>-AS26*Hipótesis!$F$40</f>
        <v/>
      </c>
      <c r="AT28" s="25">
        <f>-AT26*Hipótesis!$F$40</f>
        <v/>
      </c>
      <c r="AU28" s="25">
        <f>-AU26*Hipótesis!$F$40</f>
        <v/>
      </c>
      <c r="AV28" s="25">
        <f>-AV26*Hipótesis!$F$40</f>
        <v/>
      </c>
      <c r="AW28" s="25">
        <f>-AW26*Hipótesis!$F$40</f>
        <v/>
      </c>
      <c r="AX28" s="25">
        <f>-AX26*Hipótesis!$F$40</f>
        <v/>
      </c>
      <c r="AY28" s="25">
        <f>-AY26*Hipótesis!$F$40</f>
        <v/>
      </c>
      <c r="AZ28" s="25">
        <f>-AZ26*Hipótesis!$F$40</f>
        <v/>
      </c>
      <c r="BA28" s="25">
        <f>-BA26*Hipótesis!$F$40</f>
        <v/>
      </c>
      <c r="BB28" s="26">
        <f>SUM(AP28:BA28)</f>
        <v/>
      </c>
    </row>
    <row r="29">
      <c r="B29" s="16" t="inlineStr">
        <is>
          <t>Base activa al cierre</t>
        </is>
      </c>
      <c r="C29" s="27">
        <f>SUM(C26:C28)</f>
        <v/>
      </c>
      <c r="D29" s="27">
        <f>SUM(D26:D28)</f>
        <v/>
      </c>
      <c r="E29" s="27">
        <f>SUM(E26:E28)</f>
        <v/>
      </c>
      <c r="F29" s="27">
        <f>SUM(F26:F28)</f>
        <v/>
      </c>
      <c r="G29" s="27">
        <f>SUM(G26:G28)</f>
        <v/>
      </c>
      <c r="H29" s="27">
        <f>SUM(H26:H28)</f>
        <v/>
      </c>
      <c r="I29" s="27">
        <f>SUM(I26:I28)</f>
        <v/>
      </c>
      <c r="J29" s="27">
        <f>SUM(J26:J28)</f>
        <v/>
      </c>
      <c r="K29" s="27">
        <f>SUM(K26:K28)</f>
        <v/>
      </c>
      <c r="L29" s="27">
        <f>SUM(L26:L28)</f>
        <v/>
      </c>
      <c r="M29" s="27">
        <f>SUM(M26:M28)</f>
        <v/>
      </c>
      <c r="N29" s="27">
        <f>SUM(N26:N28)</f>
        <v/>
      </c>
      <c r="O29" s="26">
        <f>N29</f>
        <v/>
      </c>
      <c r="P29" s="27">
        <f>SUM(P26:P28)</f>
        <v/>
      </c>
      <c r="Q29" s="27">
        <f>SUM(Q26:Q28)</f>
        <v/>
      </c>
      <c r="R29" s="27">
        <f>SUM(R26:R28)</f>
        <v/>
      </c>
      <c r="S29" s="27">
        <f>SUM(S26:S28)</f>
        <v/>
      </c>
      <c r="T29" s="27">
        <f>SUM(T26:T28)</f>
        <v/>
      </c>
      <c r="U29" s="27">
        <f>SUM(U26:U28)</f>
        <v/>
      </c>
      <c r="V29" s="27">
        <f>SUM(V26:V28)</f>
        <v/>
      </c>
      <c r="W29" s="27">
        <f>SUM(W26:W28)</f>
        <v/>
      </c>
      <c r="X29" s="27">
        <f>SUM(X26:X28)</f>
        <v/>
      </c>
      <c r="Y29" s="27">
        <f>SUM(Y26:Y28)</f>
        <v/>
      </c>
      <c r="Z29" s="27">
        <f>SUM(Z26:Z28)</f>
        <v/>
      </c>
      <c r="AA29" s="27">
        <f>SUM(AA26:AA28)</f>
        <v/>
      </c>
      <c r="AB29" s="26">
        <f>AA29</f>
        <v/>
      </c>
      <c r="AC29" s="27">
        <f>SUM(AC26:AC28)</f>
        <v/>
      </c>
      <c r="AD29" s="27">
        <f>SUM(AD26:AD28)</f>
        <v/>
      </c>
      <c r="AE29" s="27">
        <f>SUM(AE26:AE28)</f>
        <v/>
      </c>
      <c r="AF29" s="27">
        <f>SUM(AF26:AF28)</f>
        <v/>
      </c>
      <c r="AG29" s="27">
        <f>SUM(AG26:AG28)</f>
        <v/>
      </c>
      <c r="AH29" s="27">
        <f>SUM(AH26:AH28)</f>
        <v/>
      </c>
      <c r="AI29" s="27">
        <f>SUM(AI26:AI28)</f>
        <v/>
      </c>
      <c r="AJ29" s="27">
        <f>SUM(AJ26:AJ28)</f>
        <v/>
      </c>
      <c r="AK29" s="27">
        <f>SUM(AK26:AK28)</f>
        <v/>
      </c>
      <c r="AL29" s="27">
        <f>SUM(AL26:AL28)</f>
        <v/>
      </c>
      <c r="AM29" s="27">
        <f>SUM(AM26:AM28)</f>
        <v/>
      </c>
      <c r="AN29" s="27">
        <f>SUM(AN26:AN28)</f>
        <v/>
      </c>
      <c r="AO29" s="26">
        <f>AN29</f>
        <v/>
      </c>
      <c r="AP29" s="27">
        <f>SUM(AP26:AP28)</f>
        <v/>
      </c>
      <c r="AQ29" s="27">
        <f>SUM(AQ26:AQ28)</f>
        <v/>
      </c>
      <c r="AR29" s="27">
        <f>SUM(AR26:AR28)</f>
        <v/>
      </c>
      <c r="AS29" s="27">
        <f>SUM(AS26:AS28)</f>
        <v/>
      </c>
      <c r="AT29" s="27">
        <f>SUM(AT26:AT28)</f>
        <v/>
      </c>
      <c r="AU29" s="27">
        <f>SUM(AU26:AU28)</f>
        <v/>
      </c>
      <c r="AV29" s="27">
        <f>SUM(AV26:AV28)</f>
        <v/>
      </c>
      <c r="AW29" s="27">
        <f>SUM(AW26:AW28)</f>
        <v/>
      </c>
      <c r="AX29" s="27">
        <f>SUM(AX26:AX28)</f>
        <v/>
      </c>
      <c r="AY29" s="27">
        <f>SUM(AY26:AY28)</f>
        <v/>
      </c>
      <c r="AZ29" s="27">
        <f>SUM(AZ26:AZ28)</f>
        <v/>
      </c>
      <c r="BA29" s="27">
        <f>SUM(BA26:BA28)</f>
        <v/>
      </c>
      <c r="BB29" s="26">
        <f>BA29</f>
        <v/>
      </c>
    </row>
    <row r="30"/>
    <row r="31">
      <c r="B31" s="39" t="inlineStr">
        <is>
          <t>Plan Partner — Segmento C</t>
        </is>
      </c>
      <c r="H31" s="3" t="inlineStr">
        <is>
          <t>La cartera del canal es un stock, no un flujo: cada partner gestiona una cantidad finita de clientes. Modelarlo como altas mensuales perpetuas haría crecer el canal sin techo.</t>
        </is>
      </c>
    </row>
    <row r="32">
      <c r="A32" s="16" t="inlineStr">
        <is>
          <t>PLAN PARTNER</t>
        </is>
      </c>
      <c r="B32" s="11" t="inlineStr">
        <is>
          <t>Partners activos</t>
        </is>
      </c>
      <c r="C32" s="23">
        <f>ROUND(Hipótesis!$C$36*1/12,0)</f>
        <v/>
      </c>
      <c r="D32" s="23">
        <f>ROUND(Hipótesis!$C$36*2/12,0)</f>
        <v/>
      </c>
      <c r="E32" s="23">
        <f>ROUND(Hipótesis!$C$36*3/12,0)</f>
        <v/>
      </c>
      <c r="F32" s="23">
        <f>ROUND(Hipótesis!$C$36*4/12,0)</f>
        <v/>
      </c>
      <c r="G32" s="23">
        <f>ROUND(Hipótesis!$C$36*5/12,0)</f>
        <v/>
      </c>
      <c r="H32" s="23">
        <f>ROUND(Hipótesis!$C$36*6/12,0)</f>
        <v/>
      </c>
      <c r="I32" s="23">
        <f>ROUND(Hipótesis!$C$36*7/12,0)</f>
        <v/>
      </c>
      <c r="J32" s="23">
        <f>ROUND(Hipótesis!$C$36*8/12,0)</f>
        <v/>
      </c>
      <c r="K32" s="23">
        <f>ROUND(Hipótesis!$C$36*9/12,0)</f>
        <v/>
      </c>
      <c r="L32" s="23">
        <f>ROUND(Hipótesis!$C$36*10/12,0)</f>
        <v/>
      </c>
      <c r="M32" s="23">
        <f>ROUND(Hipótesis!$C$36*11/12,0)</f>
        <v/>
      </c>
      <c r="N32" s="23">
        <f>ROUND(Hipótesis!$C$36*12/12,0)</f>
        <v/>
      </c>
      <c r="O32" s="24">
        <f>N32</f>
        <v/>
      </c>
      <c r="P32" s="23">
        <f>ROUND(Hipótesis!$C$36+(Hipótesis!$D$36-Hipótesis!$C$36)*1/12,0)</f>
        <v/>
      </c>
      <c r="Q32" s="23">
        <f>ROUND(Hipótesis!$C$36+(Hipótesis!$D$36-Hipótesis!$C$36)*2/12,0)</f>
        <v/>
      </c>
      <c r="R32" s="23">
        <f>ROUND(Hipótesis!$C$36+(Hipótesis!$D$36-Hipótesis!$C$36)*3/12,0)</f>
        <v/>
      </c>
      <c r="S32" s="23">
        <f>ROUND(Hipótesis!$C$36+(Hipótesis!$D$36-Hipótesis!$C$36)*4/12,0)</f>
        <v/>
      </c>
      <c r="T32" s="23">
        <f>ROUND(Hipótesis!$C$36+(Hipótesis!$D$36-Hipótesis!$C$36)*5/12,0)</f>
        <v/>
      </c>
      <c r="U32" s="23">
        <f>ROUND(Hipótesis!$C$36+(Hipótesis!$D$36-Hipótesis!$C$36)*6/12,0)</f>
        <v/>
      </c>
      <c r="V32" s="23">
        <f>ROUND(Hipótesis!$C$36+(Hipótesis!$D$36-Hipótesis!$C$36)*7/12,0)</f>
        <v/>
      </c>
      <c r="W32" s="23">
        <f>ROUND(Hipótesis!$C$36+(Hipótesis!$D$36-Hipótesis!$C$36)*8/12,0)</f>
        <v/>
      </c>
      <c r="X32" s="23">
        <f>ROUND(Hipótesis!$C$36+(Hipótesis!$D$36-Hipótesis!$C$36)*9/12,0)</f>
        <v/>
      </c>
      <c r="Y32" s="23">
        <f>ROUND(Hipótesis!$C$36+(Hipótesis!$D$36-Hipótesis!$C$36)*10/12,0)</f>
        <v/>
      </c>
      <c r="Z32" s="23">
        <f>ROUND(Hipótesis!$C$36+(Hipótesis!$D$36-Hipótesis!$C$36)*11/12,0)</f>
        <v/>
      </c>
      <c r="AA32" s="23">
        <f>ROUND(Hipótesis!$C$36+(Hipótesis!$D$36-Hipótesis!$C$36)*12/12,0)</f>
        <v/>
      </c>
      <c r="AB32" s="24">
        <f>AA32</f>
        <v/>
      </c>
      <c r="AC32" s="23">
        <f>ROUND(Hipótesis!$D$36+(Hipótesis!$E$36-Hipótesis!$D$36)*1/12,0)</f>
        <v/>
      </c>
      <c r="AD32" s="23">
        <f>ROUND(Hipótesis!$D$36+(Hipótesis!$E$36-Hipótesis!$D$36)*2/12,0)</f>
        <v/>
      </c>
      <c r="AE32" s="23">
        <f>ROUND(Hipótesis!$D$36+(Hipótesis!$E$36-Hipótesis!$D$36)*3/12,0)</f>
        <v/>
      </c>
      <c r="AF32" s="23">
        <f>ROUND(Hipótesis!$D$36+(Hipótesis!$E$36-Hipótesis!$D$36)*4/12,0)</f>
        <v/>
      </c>
      <c r="AG32" s="23">
        <f>ROUND(Hipótesis!$D$36+(Hipótesis!$E$36-Hipótesis!$D$36)*5/12,0)</f>
        <v/>
      </c>
      <c r="AH32" s="23">
        <f>ROUND(Hipótesis!$D$36+(Hipótesis!$E$36-Hipótesis!$D$36)*6/12,0)</f>
        <v/>
      </c>
      <c r="AI32" s="23">
        <f>ROUND(Hipótesis!$D$36+(Hipótesis!$E$36-Hipótesis!$D$36)*7/12,0)</f>
        <v/>
      </c>
      <c r="AJ32" s="23">
        <f>ROUND(Hipótesis!$D$36+(Hipótesis!$E$36-Hipótesis!$D$36)*8/12,0)</f>
        <v/>
      </c>
      <c r="AK32" s="23">
        <f>ROUND(Hipótesis!$D$36+(Hipótesis!$E$36-Hipótesis!$D$36)*9/12,0)</f>
        <v/>
      </c>
      <c r="AL32" s="23">
        <f>ROUND(Hipótesis!$D$36+(Hipótesis!$E$36-Hipótesis!$D$36)*10/12,0)</f>
        <v/>
      </c>
      <c r="AM32" s="23">
        <f>ROUND(Hipótesis!$D$36+(Hipótesis!$E$36-Hipótesis!$D$36)*11/12,0)</f>
        <v/>
      </c>
      <c r="AN32" s="23">
        <f>ROUND(Hipótesis!$D$36+(Hipótesis!$E$36-Hipótesis!$D$36)*12/12,0)</f>
        <v/>
      </c>
      <c r="AO32" s="24">
        <f>AN32</f>
        <v/>
      </c>
      <c r="AP32" s="23">
        <f>ROUND(Hipótesis!$E$36+(Hipótesis!$F$36-Hipótesis!$E$36)*1/12,0)</f>
        <v/>
      </c>
      <c r="AQ32" s="23">
        <f>ROUND(Hipótesis!$E$36+(Hipótesis!$F$36-Hipótesis!$E$36)*2/12,0)</f>
        <v/>
      </c>
      <c r="AR32" s="23">
        <f>ROUND(Hipótesis!$E$36+(Hipótesis!$F$36-Hipótesis!$E$36)*3/12,0)</f>
        <v/>
      </c>
      <c r="AS32" s="23">
        <f>ROUND(Hipótesis!$E$36+(Hipótesis!$F$36-Hipótesis!$E$36)*4/12,0)</f>
        <v/>
      </c>
      <c r="AT32" s="23">
        <f>ROUND(Hipótesis!$E$36+(Hipótesis!$F$36-Hipótesis!$E$36)*5/12,0)</f>
        <v/>
      </c>
      <c r="AU32" s="23">
        <f>ROUND(Hipótesis!$E$36+(Hipótesis!$F$36-Hipótesis!$E$36)*6/12,0)</f>
        <v/>
      </c>
      <c r="AV32" s="23">
        <f>ROUND(Hipótesis!$E$36+(Hipótesis!$F$36-Hipótesis!$E$36)*7/12,0)</f>
        <v/>
      </c>
      <c r="AW32" s="23">
        <f>ROUND(Hipótesis!$E$36+(Hipótesis!$F$36-Hipótesis!$E$36)*8/12,0)</f>
        <v/>
      </c>
      <c r="AX32" s="23">
        <f>ROUND(Hipótesis!$E$36+(Hipótesis!$F$36-Hipótesis!$E$36)*9/12,0)</f>
        <v/>
      </c>
      <c r="AY32" s="23">
        <f>ROUND(Hipótesis!$E$36+(Hipótesis!$F$36-Hipótesis!$E$36)*10/12,0)</f>
        <v/>
      </c>
      <c r="AZ32" s="23">
        <f>ROUND(Hipótesis!$E$36+(Hipótesis!$F$36-Hipótesis!$E$36)*11/12,0)</f>
        <v/>
      </c>
      <c r="BA32" s="23">
        <f>ROUND(Hipótesis!$E$36+(Hipótesis!$F$36-Hipótesis!$E$36)*12/12,0)</f>
        <v/>
      </c>
      <c r="BB32" s="24">
        <f>BA32</f>
        <v/>
      </c>
    </row>
    <row r="33">
      <c r="B33" s="16" t="inlineStr">
        <is>
          <t>Clientes gestionados por el canal</t>
        </is>
      </c>
      <c r="C33" s="27">
        <f>IF(1&lt;Hipótesis!$C$35,0,C32*Hipótesis!$C$37)</f>
        <v/>
      </c>
      <c r="D33" s="27">
        <f>IF(2&lt;Hipótesis!$C$35,0,D32*Hipótesis!$C$37)</f>
        <v/>
      </c>
      <c r="E33" s="27">
        <f>IF(3&lt;Hipótesis!$C$35,0,E32*Hipótesis!$C$37)</f>
        <v/>
      </c>
      <c r="F33" s="27">
        <f>IF(4&lt;Hipótesis!$C$35,0,F32*Hipótesis!$C$37)</f>
        <v/>
      </c>
      <c r="G33" s="27">
        <f>IF(5&lt;Hipótesis!$C$35,0,G32*Hipótesis!$C$37)</f>
        <v/>
      </c>
      <c r="H33" s="27">
        <f>IF(6&lt;Hipótesis!$C$35,0,H32*Hipótesis!$C$37)</f>
        <v/>
      </c>
      <c r="I33" s="27">
        <f>IF(7&lt;Hipótesis!$C$35,0,I32*Hipótesis!$C$37)</f>
        <v/>
      </c>
      <c r="J33" s="27">
        <f>IF(8&lt;Hipótesis!$C$35,0,J32*Hipótesis!$C$37)</f>
        <v/>
      </c>
      <c r="K33" s="27">
        <f>IF(9&lt;Hipótesis!$C$35,0,K32*Hipótesis!$C$37)</f>
        <v/>
      </c>
      <c r="L33" s="27">
        <f>IF(10&lt;Hipótesis!$C$35,0,L32*Hipótesis!$C$37)</f>
        <v/>
      </c>
      <c r="M33" s="27">
        <f>IF(11&lt;Hipótesis!$C$35,0,M32*Hipótesis!$C$37)</f>
        <v/>
      </c>
      <c r="N33" s="27">
        <f>IF(12&lt;Hipótesis!$C$35,0,N32*Hipótesis!$C$37)</f>
        <v/>
      </c>
      <c r="O33" s="26">
        <f>N33</f>
        <v/>
      </c>
      <c r="P33" s="27">
        <f>IF(13&lt;Hipótesis!$C$35,0,P32*Hipótesis!$D$37)</f>
        <v/>
      </c>
      <c r="Q33" s="27">
        <f>IF(14&lt;Hipótesis!$C$35,0,Q32*Hipótesis!$D$37)</f>
        <v/>
      </c>
      <c r="R33" s="27">
        <f>IF(15&lt;Hipótesis!$C$35,0,R32*Hipótesis!$D$37)</f>
        <v/>
      </c>
      <c r="S33" s="27">
        <f>IF(16&lt;Hipótesis!$C$35,0,S32*Hipótesis!$D$37)</f>
        <v/>
      </c>
      <c r="T33" s="27">
        <f>IF(17&lt;Hipótesis!$C$35,0,T32*Hipótesis!$D$37)</f>
        <v/>
      </c>
      <c r="U33" s="27">
        <f>IF(18&lt;Hipótesis!$C$35,0,U32*Hipótesis!$D$37)</f>
        <v/>
      </c>
      <c r="V33" s="27">
        <f>IF(19&lt;Hipótesis!$C$35,0,V32*Hipótesis!$D$37)</f>
        <v/>
      </c>
      <c r="W33" s="27">
        <f>IF(20&lt;Hipótesis!$C$35,0,W32*Hipótesis!$D$37)</f>
        <v/>
      </c>
      <c r="X33" s="27">
        <f>IF(21&lt;Hipótesis!$C$35,0,X32*Hipótesis!$D$37)</f>
        <v/>
      </c>
      <c r="Y33" s="27">
        <f>IF(22&lt;Hipótesis!$C$35,0,Y32*Hipótesis!$D$37)</f>
        <v/>
      </c>
      <c r="Z33" s="27">
        <f>IF(23&lt;Hipótesis!$C$35,0,Z32*Hipótesis!$D$37)</f>
        <v/>
      </c>
      <c r="AA33" s="27">
        <f>IF(24&lt;Hipótesis!$C$35,0,AA32*Hipótesis!$D$37)</f>
        <v/>
      </c>
      <c r="AB33" s="26">
        <f>AA33</f>
        <v/>
      </c>
      <c r="AC33" s="27">
        <f>IF(25&lt;Hipótesis!$C$35,0,AC32*Hipótesis!$E$37)</f>
        <v/>
      </c>
      <c r="AD33" s="27">
        <f>IF(26&lt;Hipótesis!$C$35,0,AD32*Hipótesis!$E$37)</f>
        <v/>
      </c>
      <c r="AE33" s="27">
        <f>IF(27&lt;Hipótesis!$C$35,0,AE32*Hipótesis!$E$37)</f>
        <v/>
      </c>
      <c r="AF33" s="27">
        <f>IF(28&lt;Hipótesis!$C$35,0,AF32*Hipótesis!$E$37)</f>
        <v/>
      </c>
      <c r="AG33" s="27">
        <f>IF(29&lt;Hipótesis!$C$35,0,AG32*Hipótesis!$E$37)</f>
        <v/>
      </c>
      <c r="AH33" s="27">
        <f>IF(30&lt;Hipótesis!$C$35,0,AH32*Hipótesis!$E$37)</f>
        <v/>
      </c>
      <c r="AI33" s="27">
        <f>IF(31&lt;Hipótesis!$C$35,0,AI32*Hipótesis!$E$37)</f>
        <v/>
      </c>
      <c r="AJ33" s="27">
        <f>IF(32&lt;Hipótesis!$C$35,0,AJ32*Hipótesis!$E$37)</f>
        <v/>
      </c>
      <c r="AK33" s="27">
        <f>IF(33&lt;Hipótesis!$C$35,0,AK32*Hipótesis!$E$37)</f>
        <v/>
      </c>
      <c r="AL33" s="27">
        <f>IF(34&lt;Hipótesis!$C$35,0,AL32*Hipótesis!$E$37)</f>
        <v/>
      </c>
      <c r="AM33" s="27">
        <f>IF(35&lt;Hipótesis!$C$35,0,AM32*Hipótesis!$E$37)</f>
        <v/>
      </c>
      <c r="AN33" s="27">
        <f>IF(36&lt;Hipótesis!$C$35,0,AN32*Hipótesis!$E$37)</f>
        <v/>
      </c>
      <c r="AO33" s="26">
        <f>AN33</f>
        <v/>
      </c>
      <c r="AP33" s="27">
        <f>IF(37&lt;Hipótesis!$C$35,0,AP32*Hipótesis!$F$37)</f>
        <v/>
      </c>
      <c r="AQ33" s="27">
        <f>IF(38&lt;Hipótesis!$C$35,0,AQ32*Hipótesis!$F$37)</f>
        <v/>
      </c>
      <c r="AR33" s="27">
        <f>IF(39&lt;Hipótesis!$C$35,0,AR32*Hipótesis!$F$37)</f>
        <v/>
      </c>
      <c r="AS33" s="27">
        <f>IF(40&lt;Hipótesis!$C$35,0,AS32*Hipótesis!$F$37)</f>
        <v/>
      </c>
      <c r="AT33" s="27">
        <f>IF(41&lt;Hipótesis!$C$35,0,AT32*Hipótesis!$F$37)</f>
        <v/>
      </c>
      <c r="AU33" s="27">
        <f>IF(42&lt;Hipótesis!$C$35,0,AU32*Hipótesis!$F$37)</f>
        <v/>
      </c>
      <c r="AV33" s="27">
        <f>IF(43&lt;Hipótesis!$C$35,0,AV32*Hipótesis!$F$37)</f>
        <v/>
      </c>
      <c r="AW33" s="27">
        <f>IF(44&lt;Hipótesis!$C$35,0,AW32*Hipótesis!$F$37)</f>
        <v/>
      </c>
      <c r="AX33" s="27">
        <f>IF(45&lt;Hipótesis!$C$35,0,AX32*Hipótesis!$F$37)</f>
        <v/>
      </c>
      <c r="AY33" s="27">
        <f>IF(46&lt;Hipótesis!$C$35,0,AY32*Hipótesis!$F$37)</f>
        <v/>
      </c>
      <c r="AZ33" s="27">
        <f>IF(47&lt;Hipótesis!$C$35,0,AZ32*Hipótesis!$F$37)</f>
        <v/>
      </c>
      <c r="BA33" s="27">
        <f>IF(48&lt;Hipótesis!$C$35,0,BA32*Hipótesis!$F$37)</f>
        <v/>
      </c>
      <c r="BB33" s="26">
        <f>BA33</f>
        <v/>
      </c>
    </row>
    <row r="34"/>
    <row r="35">
      <c r="B35" s="39" t="inlineStr">
        <is>
          <t>Consolidado</t>
        </is>
      </c>
    </row>
    <row r="36">
      <c r="A36" s="16" t="inlineStr">
        <is>
          <t>TOTAL</t>
        </is>
      </c>
      <c r="B36" s="16" t="inlineStr">
        <is>
          <t>Clientes pagos activos</t>
        </is>
      </c>
      <c r="C36" s="27">
        <f>C22+C29+C33</f>
        <v/>
      </c>
      <c r="D36" s="27">
        <f>D22+D29+D33</f>
        <v/>
      </c>
      <c r="E36" s="27">
        <f>E22+E29+E33</f>
        <v/>
      </c>
      <c r="F36" s="27">
        <f>F22+F29+F33</f>
        <v/>
      </c>
      <c r="G36" s="27">
        <f>G22+G29+G33</f>
        <v/>
      </c>
      <c r="H36" s="27">
        <f>H22+H29+H33</f>
        <v/>
      </c>
      <c r="I36" s="27">
        <f>I22+I29+I33</f>
        <v/>
      </c>
      <c r="J36" s="27">
        <f>J22+J29+J33</f>
        <v/>
      </c>
      <c r="K36" s="27">
        <f>K22+K29+K33</f>
        <v/>
      </c>
      <c r="L36" s="27">
        <f>L22+L29+L33</f>
        <v/>
      </c>
      <c r="M36" s="27">
        <f>M22+M29+M33</f>
        <v/>
      </c>
      <c r="N36" s="27">
        <f>N22+N29+N33</f>
        <v/>
      </c>
      <c r="O36" s="26">
        <f>N36</f>
        <v/>
      </c>
      <c r="P36" s="27">
        <f>P22+P29+P33</f>
        <v/>
      </c>
      <c r="Q36" s="27">
        <f>Q22+Q29+Q33</f>
        <v/>
      </c>
      <c r="R36" s="27">
        <f>R22+R29+R33</f>
        <v/>
      </c>
      <c r="S36" s="27">
        <f>S22+S29+S33</f>
        <v/>
      </c>
      <c r="T36" s="27">
        <f>T22+T29+T33</f>
        <v/>
      </c>
      <c r="U36" s="27">
        <f>U22+U29+U33</f>
        <v/>
      </c>
      <c r="V36" s="27">
        <f>V22+V29+V33</f>
        <v/>
      </c>
      <c r="W36" s="27">
        <f>W22+W29+W33</f>
        <v/>
      </c>
      <c r="X36" s="27">
        <f>X22+X29+X33</f>
        <v/>
      </c>
      <c r="Y36" s="27">
        <f>Y22+Y29+Y33</f>
        <v/>
      </c>
      <c r="Z36" s="27">
        <f>Z22+Z29+Z33</f>
        <v/>
      </c>
      <c r="AA36" s="27">
        <f>AA22+AA29+AA33</f>
        <v/>
      </c>
      <c r="AB36" s="26">
        <f>AA36</f>
        <v/>
      </c>
      <c r="AC36" s="27">
        <f>AC22+AC29+AC33</f>
        <v/>
      </c>
      <c r="AD36" s="27">
        <f>AD22+AD29+AD33</f>
        <v/>
      </c>
      <c r="AE36" s="27">
        <f>AE22+AE29+AE33</f>
        <v/>
      </c>
      <c r="AF36" s="27">
        <f>AF22+AF29+AF33</f>
        <v/>
      </c>
      <c r="AG36" s="27">
        <f>AG22+AG29+AG33</f>
        <v/>
      </c>
      <c r="AH36" s="27">
        <f>AH22+AH29+AH33</f>
        <v/>
      </c>
      <c r="AI36" s="27">
        <f>AI22+AI29+AI33</f>
        <v/>
      </c>
      <c r="AJ36" s="27">
        <f>AJ22+AJ29+AJ33</f>
        <v/>
      </c>
      <c r="AK36" s="27">
        <f>AK22+AK29+AK33</f>
        <v/>
      </c>
      <c r="AL36" s="27">
        <f>AL22+AL29+AL33</f>
        <v/>
      </c>
      <c r="AM36" s="27">
        <f>AM22+AM29+AM33</f>
        <v/>
      </c>
      <c r="AN36" s="27">
        <f>AN22+AN29+AN33</f>
        <v/>
      </c>
      <c r="AO36" s="26">
        <f>AN36</f>
        <v/>
      </c>
      <c r="AP36" s="27">
        <f>AP22+AP29+AP33</f>
        <v/>
      </c>
      <c r="AQ36" s="27">
        <f>AQ22+AQ29+AQ33</f>
        <v/>
      </c>
      <c r="AR36" s="27">
        <f>AR22+AR29+AR33</f>
        <v/>
      </c>
      <c r="AS36" s="27">
        <f>AS22+AS29+AS33</f>
        <v/>
      </c>
      <c r="AT36" s="27">
        <f>AT22+AT29+AT33</f>
        <v/>
      </c>
      <c r="AU36" s="27">
        <f>AU22+AU29+AU33</f>
        <v/>
      </c>
      <c r="AV36" s="27">
        <f>AV22+AV29+AV33</f>
        <v/>
      </c>
      <c r="AW36" s="27">
        <f>AW22+AW29+AW33</f>
        <v/>
      </c>
      <c r="AX36" s="27">
        <f>AX22+AX29+AX33</f>
        <v/>
      </c>
      <c r="AY36" s="27">
        <f>AY22+AY29+AY33</f>
        <v/>
      </c>
      <c r="AZ36" s="27">
        <f>AZ22+AZ29+AZ33</f>
        <v/>
      </c>
      <c r="BA36" s="27">
        <f>BA22+BA29+BA33</f>
        <v/>
      </c>
      <c r="BB36" s="26">
        <f>BA36</f>
        <v/>
      </c>
    </row>
    <row r="37">
      <c r="B37" s="16" t="inlineStr">
        <is>
          <t>Equipos administrados</t>
        </is>
      </c>
      <c r="C37" s="15">
        <f>C22*Hipótesis!$C$41+C29*Hipótesis!$C$42+C33*Hipótesis!$C$43</f>
        <v/>
      </c>
      <c r="D37" s="15">
        <f>D22*Hipótesis!$C$41+D29*Hipótesis!$C$42+D33*Hipótesis!$C$43</f>
        <v/>
      </c>
      <c r="E37" s="15">
        <f>E22*Hipótesis!$C$41+E29*Hipótesis!$C$42+E33*Hipótesis!$C$43</f>
        <v/>
      </c>
      <c r="F37" s="15">
        <f>F22*Hipótesis!$C$41+F29*Hipótesis!$C$42+F33*Hipótesis!$C$43</f>
        <v/>
      </c>
      <c r="G37" s="15">
        <f>G22*Hipótesis!$C$41+G29*Hipótesis!$C$42+G33*Hipótesis!$C$43</f>
        <v/>
      </c>
      <c r="H37" s="15">
        <f>H22*Hipótesis!$C$41+H29*Hipótesis!$C$42+H33*Hipótesis!$C$43</f>
        <v/>
      </c>
      <c r="I37" s="15">
        <f>I22*Hipótesis!$C$41+I29*Hipótesis!$C$42+I33*Hipótesis!$C$43</f>
        <v/>
      </c>
      <c r="J37" s="15">
        <f>J22*Hipótesis!$C$41+J29*Hipótesis!$C$42+J33*Hipótesis!$C$43</f>
        <v/>
      </c>
      <c r="K37" s="15">
        <f>K22*Hipótesis!$C$41+K29*Hipótesis!$C$42+K33*Hipótesis!$C$43</f>
        <v/>
      </c>
      <c r="L37" s="15">
        <f>L22*Hipótesis!$C$41+L29*Hipótesis!$C$42+L33*Hipótesis!$C$43</f>
        <v/>
      </c>
      <c r="M37" s="15">
        <f>M22*Hipótesis!$C$41+M29*Hipótesis!$C$42+M33*Hipótesis!$C$43</f>
        <v/>
      </c>
      <c r="N37" s="15">
        <f>N22*Hipótesis!$C$41+N29*Hipótesis!$C$42+N33*Hipótesis!$C$43</f>
        <v/>
      </c>
      <c r="O37" s="24">
        <f>N37</f>
        <v/>
      </c>
      <c r="P37" s="15">
        <f>P22*Hipótesis!$D$41+P29*Hipótesis!$D$42+P33*Hipótesis!$D$43</f>
        <v/>
      </c>
      <c r="Q37" s="15">
        <f>Q22*Hipótesis!$D$41+Q29*Hipótesis!$D$42+Q33*Hipótesis!$D$43</f>
        <v/>
      </c>
      <c r="R37" s="15">
        <f>R22*Hipótesis!$D$41+R29*Hipótesis!$D$42+R33*Hipótesis!$D$43</f>
        <v/>
      </c>
      <c r="S37" s="15">
        <f>S22*Hipótesis!$D$41+S29*Hipótesis!$D$42+S33*Hipótesis!$D$43</f>
        <v/>
      </c>
      <c r="T37" s="15">
        <f>T22*Hipótesis!$D$41+T29*Hipótesis!$D$42+T33*Hipótesis!$D$43</f>
        <v/>
      </c>
      <c r="U37" s="15">
        <f>U22*Hipótesis!$D$41+U29*Hipótesis!$D$42+U33*Hipótesis!$D$43</f>
        <v/>
      </c>
      <c r="V37" s="15">
        <f>V22*Hipótesis!$D$41+V29*Hipótesis!$D$42+V33*Hipótesis!$D$43</f>
        <v/>
      </c>
      <c r="W37" s="15">
        <f>W22*Hipótesis!$D$41+W29*Hipótesis!$D$42+W33*Hipótesis!$D$43</f>
        <v/>
      </c>
      <c r="X37" s="15">
        <f>X22*Hipótesis!$D$41+X29*Hipótesis!$D$42+X33*Hipótesis!$D$43</f>
        <v/>
      </c>
      <c r="Y37" s="15">
        <f>Y22*Hipótesis!$D$41+Y29*Hipótesis!$D$42+Y33*Hipótesis!$D$43</f>
        <v/>
      </c>
      <c r="Z37" s="15">
        <f>Z22*Hipótesis!$D$41+Z29*Hipótesis!$D$42+Z33*Hipótesis!$D$43</f>
        <v/>
      </c>
      <c r="AA37" s="15">
        <f>AA22*Hipótesis!$D$41+AA29*Hipótesis!$D$42+AA33*Hipótesis!$D$43</f>
        <v/>
      </c>
      <c r="AB37" s="24">
        <f>AA37</f>
        <v/>
      </c>
      <c r="AC37" s="15">
        <f>AC22*Hipótesis!$E$41+AC29*Hipótesis!$E$42+AC33*Hipótesis!$E$43</f>
        <v/>
      </c>
      <c r="AD37" s="15">
        <f>AD22*Hipótesis!$E$41+AD29*Hipótesis!$E$42+AD33*Hipótesis!$E$43</f>
        <v/>
      </c>
      <c r="AE37" s="15">
        <f>AE22*Hipótesis!$E$41+AE29*Hipótesis!$E$42+AE33*Hipótesis!$E$43</f>
        <v/>
      </c>
      <c r="AF37" s="15">
        <f>AF22*Hipótesis!$E$41+AF29*Hipótesis!$E$42+AF33*Hipótesis!$E$43</f>
        <v/>
      </c>
      <c r="AG37" s="15">
        <f>AG22*Hipótesis!$E$41+AG29*Hipótesis!$E$42+AG33*Hipótesis!$E$43</f>
        <v/>
      </c>
      <c r="AH37" s="15">
        <f>AH22*Hipótesis!$E$41+AH29*Hipótesis!$E$42+AH33*Hipótesis!$E$43</f>
        <v/>
      </c>
      <c r="AI37" s="15">
        <f>AI22*Hipótesis!$E$41+AI29*Hipótesis!$E$42+AI33*Hipótesis!$E$43</f>
        <v/>
      </c>
      <c r="AJ37" s="15">
        <f>AJ22*Hipótesis!$E$41+AJ29*Hipótesis!$E$42+AJ33*Hipótesis!$E$43</f>
        <v/>
      </c>
      <c r="AK37" s="15">
        <f>AK22*Hipótesis!$E$41+AK29*Hipótesis!$E$42+AK33*Hipótesis!$E$43</f>
        <v/>
      </c>
      <c r="AL37" s="15">
        <f>AL22*Hipótesis!$E$41+AL29*Hipótesis!$E$42+AL33*Hipótesis!$E$43</f>
        <v/>
      </c>
      <c r="AM37" s="15">
        <f>AM22*Hipótesis!$E$41+AM29*Hipótesis!$E$42+AM33*Hipótesis!$E$43</f>
        <v/>
      </c>
      <c r="AN37" s="15">
        <f>AN22*Hipótesis!$E$41+AN29*Hipótesis!$E$42+AN33*Hipótesis!$E$43</f>
        <v/>
      </c>
      <c r="AO37" s="24">
        <f>AN37</f>
        <v/>
      </c>
      <c r="AP37" s="15">
        <f>AP22*Hipótesis!$F$41+AP29*Hipótesis!$F$42+AP33*Hipótesis!$F$43</f>
        <v/>
      </c>
      <c r="AQ37" s="15">
        <f>AQ22*Hipótesis!$F$41+AQ29*Hipótesis!$F$42+AQ33*Hipótesis!$F$43</f>
        <v/>
      </c>
      <c r="AR37" s="15">
        <f>AR22*Hipótesis!$F$41+AR29*Hipótesis!$F$42+AR33*Hipótesis!$F$43</f>
        <v/>
      </c>
      <c r="AS37" s="15">
        <f>AS22*Hipótesis!$F$41+AS29*Hipótesis!$F$42+AS33*Hipótesis!$F$43</f>
        <v/>
      </c>
      <c r="AT37" s="15">
        <f>AT22*Hipótesis!$F$41+AT29*Hipótesis!$F$42+AT33*Hipótesis!$F$43</f>
        <v/>
      </c>
      <c r="AU37" s="15">
        <f>AU22*Hipótesis!$F$41+AU29*Hipótesis!$F$42+AU33*Hipótesis!$F$43</f>
        <v/>
      </c>
      <c r="AV37" s="15">
        <f>AV22*Hipótesis!$F$41+AV29*Hipótesis!$F$42+AV33*Hipótesis!$F$43</f>
        <v/>
      </c>
      <c r="AW37" s="15">
        <f>AW22*Hipótesis!$F$41+AW29*Hipótesis!$F$42+AW33*Hipótesis!$F$43</f>
        <v/>
      </c>
      <c r="AX37" s="15">
        <f>AX22*Hipótesis!$F$41+AX29*Hipótesis!$F$42+AX33*Hipótesis!$F$43</f>
        <v/>
      </c>
      <c r="AY37" s="15">
        <f>AY22*Hipótesis!$F$41+AY29*Hipótesis!$F$42+AY33*Hipótesis!$F$43</f>
        <v/>
      </c>
      <c r="AZ37" s="15">
        <f>AZ22*Hipótesis!$F$41+AZ29*Hipótesis!$F$42+AZ33*Hipótesis!$F$43</f>
        <v/>
      </c>
      <c r="BA37" s="15">
        <f>BA22*Hipótesis!$F$41+BA29*Hipótesis!$F$42+BA33*Hipótesis!$F$43</f>
        <v/>
      </c>
      <c r="BB37" s="24">
        <f>BA37</f>
        <v/>
      </c>
    </row>
    <row r="38"/>
    <row r="39">
      <c r="B39" s="39" t="inlineStr">
        <is>
          <t>Verificación contra las metas del documento (5.3.3)</t>
        </is>
      </c>
    </row>
    <row r="40">
      <c r="C40" s="16" t="inlineStr">
        <is>
          <t>Proyectado</t>
        </is>
      </c>
      <c r="D40" s="16" t="inlineStr">
        <is>
          <t>Meta</t>
        </is>
      </c>
      <c r="E40" s="16" t="inlineStr">
        <is>
          <t>Desvío</t>
        </is>
      </c>
    </row>
    <row r="41">
      <c r="B41" s="11" t="inlineStr">
        <is>
          <t>Clientes pagos al mes 8 (Etapa E2)</t>
        </is>
      </c>
      <c r="C41" s="27">
        <f>J36</f>
        <v/>
      </c>
      <c r="D41" s="28" t="n">
        <v>10</v>
      </c>
      <c r="E41" s="29">
        <f>C41/D41-1</f>
        <v/>
      </c>
    </row>
    <row r="42">
      <c r="B42" s="11" t="inlineStr">
        <is>
          <t>Clientes pagos al mes 12 (Etapa E3)</t>
        </is>
      </c>
      <c r="C42" s="27">
        <f>N36</f>
        <v/>
      </c>
      <c r="D42" s="28" t="n">
        <v>25</v>
      </c>
      <c r="E42" s="29">
        <f>C42/D42-1</f>
        <v/>
      </c>
    </row>
    <row r="43">
      <c r="B43" s="11" t="inlineStr">
        <is>
          <t>Equipos administrados al mes 12</t>
        </is>
      </c>
      <c r="C43" s="27">
        <f>N37</f>
        <v/>
      </c>
      <c r="D43" s="28" t="n">
        <v>1000</v>
      </c>
      <c r="E43" s="29">
        <f>C43/D43-1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4"/>
</worksheet>
</file>

<file path=xl/worksheets/sheet5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BB27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41" t="inlineStr">
        <is>
          <t>MODELO DE INGRESOS</t>
        </is>
      </c>
    </row>
    <row r="3">
      <c r="B3" s="3" t="inlineStr">
        <is>
          <t>Facturación por línea: abono de la base activa más los equipos que exceden lo que incluye cada plan. Los precios se actualizan una vez por año según el supuesto de aumento de lista.</t>
        </is>
      </c>
    </row>
    <row r="4"/>
    <row r="5"/>
    <row r="6"/>
    <row r="7">
      <c r="C7" s="39" t="n">
        <v>2027</v>
      </c>
      <c r="P7" s="39" t="n">
        <v>2028</v>
      </c>
      <c r="AC7" s="39" t="n">
        <v>2029</v>
      </c>
      <c r="AP7" s="39" t="n">
        <v>2030</v>
      </c>
    </row>
    <row r="8">
      <c r="C8" s="45" t="inlineStr">
        <is>
          <t>Ene</t>
        </is>
      </c>
      <c r="D8" s="45" t="inlineStr">
        <is>
          <t>Feb</t>
        </is>
      </c>
      <c r="E8" s="45" t="inlineStr">
        <is>
          <t>Mar</t>
        </is>
      </c>
      <c r="F8" s="45" t="inlineStr">
        <is>
          <t>Abr</t>
        </is>
      </c>
      <c r="G8" s="45" t="inlineStr">
        <is>
          <t>May</t>
        </is>
      </c>
      <c r="H8" s="45" t="inlineStr">
        <is>
          <t>Jun</t>
        </is>
      </c>
      <c r="I8" s="45" t="inlineStr">
        <is>
          <t>Jul</t>
        </is>
      </c>
      <c r="J8" s="45" t="inlineStr">
        <is>
          <t>Ago</t>
        </is>
      </c>
      <c r="K8" s="45" t="inlineStr">
        <is>
          <t>Sep</t>
        </is>
      </c>
      <c r="L8" s="45" t="inlineStr">
        <is>
          <t>Oct</t>
        </is>
      </c>
      <c r="M8" s="45" t="inlineStr">
        <is>
          <t>Nov</t>
        </is>
      </c>
      <c r="N8" s="45" t="inlineStr">
        <is>
          <t>Dic</t>
        </is>
      </c>
      <c r="O8" s="22" t="inlineStr">
        <is>
          <t>Total 2027</t>
        </is>
      </c>
      <c r="P8" s="45" t="inlineStr">
        <is>
          <t>Ene</t>
        </is>
      </c>
      <c r="Q8" s="45" t="inlineStr">
        <is>
          <t>Feb</t>
        </is>
      </c>
      <c r="R8" s="45" t="inlineStr">
        <is>
          <t>Mar</t>
        </is>
      </c>
      <c r="S8" s="45" t="inlineStr">
        <is>
          <t>Abr</t>
        </is>
      </c>
      <c r="T8" s="45" t="inlineStr">
        <is>
          <t>May</t>
        </is>
      </c>
      <c r="U8" s="45" t="inlineStr">
        <is>
          <t>Jun</t>
        </is>
      </c>
      <c r="V8" s="45" t="inlineStr">
        <is>
          <t>Jul</t>
        </is>
      </c>
      <c r="W8" s="45" t="inlineStr">
        <is>
          <t>Ago</t>
        </is>
      </c>
      <c r="X8" s="45" t="inlineStr">
        <is>
          <t>Sep</t>
        </is>
      </c>
      <c r="Y8" s="45" t="inlineStr">
        <is>
          <t>Oct</t>
        </is>
      </c>
      <c r="Z8" s="45" t="inlineStr">
        <is>
          <t>Nov</t>
        </is>
      </c>
      <c r="AA8" s="45" t="inlineStr">
        <is>
          <t>Dic</t>
        </is>
      </c>
      <c r="AB8" s="22" t="inlineStr">
        <is>
          <t>Total 2028</t>
        </is>
      </c>
      <c r="AC8" s="45" t="inlineStr">
        <is>
          <t>Ene</t>
        </is>
      </c>
      <c r="AD8" s="45" t="inlineStr">
        <is>
          <t>Feb</t>
        </is>
      </c>
      <c r="AE8" s="45" t="inlineStr">
        <is>
          <t>Mar</t>
        </is>
      </c>
      <c r="AF8" s="45" t="inlineStr">
        <is>
          <t>Abr</t>
        </is>
      </c>
      <c r="AG8" s="45" t="inlineStr">
        <is>
          <t>May</t>
        </is>
      </c>
      <c r="AH8" s="45" t="inlineStr">
        <is>
          <t>Jun</t>
        </is>
      </c>
      <c r="AI8" s="45" t="inlineStr">
        <is>
          <t>Jul</t>
        </is>
      </c>
      <c r="AJ8" s="45" t="inlineStr">
        <is>
          <t>Ago</t>
        </is>
      </c>
      <c r="AK8" s="45" t="inlineStr">
        <is>
          <t>Sep</t>
        </is>
      </c>
      <c r="AL8" s="45" t="inlineStr">
        <is>
          <t>Oct</t>
        </is>
      </c>
      <c r="AM8" s="45" t="inlineStr">
        <is>
          <t>Nov</t>
        </is>
      </c>
      <c r="AN8" s="45" t="inlineStr">
        <is>
          <t>Dic</t>
        </is>
      </c>
      <c r="AO8" s="22" t="inlineStr">
        <is>
          <t>Total 2029</t>
        </is>
      </c>
      <c r="AP8" s="45" t="inlineStr">
        <is>
          <t>Ene</t>
        </is>
      </c>
      <c r="AQ8" s="45" t="inlineStr">
        <is>
          <t>Feb</t>
        </is>
      </c>
      <c r="AR8" s="45" t="inlineStr">
        <is>
          <t>Mar</t>
        </is>
      </c>
      <c r="AS8" s="45" t="inlineStr">
        <is>
          <t>Abr</t>
        </is>
      </c>
      <c r="AT8" s="45" t="inlineStr">
        <is>
          <t>May</t>
        </is>
      </c>
      <c r="AU8" s="45" t="inlineStr">
        <is>
          <t>Jun</t>
        </is>
      </c>
      <c r="AV8" s="45" t="inlineStr">
        <is>
          <t>Jul</t>
        </is>
      </c>
      <c r="AW8" s="45" t="inlineStr">
        <is>
          <t>Ago</t>
        </is>
      </c>
      <c r="AX8" s="45" t="inlineStr">
        <is>
          <t>Sep</t>
        </is>
      </c>
      <c r="AY8" s="45" t="inlineStr">
        <is>
          <t>Oct</t>
        </is>
      </c>
      <c r="AZ8" s="45" t="inlineStr">
        <is>
          <t>Nov</t>
        </is>
      </c>
      <c r="BA8" s="45" t="inlineStr">
        <is>
          <t>Dic</t>
        </is>
      </c>
      <c r="BB8" s="22" t="inlineStr">
        <is>
          <t>Total 2030</t>
        </is>
      </c>
    </row>
    <row r="9"/>
    <row r="10">
      <c r="B10" s="39" t="inlineStr">
        <is>
          <t>Plan Inicial</t>
        </is>
      </c>
    </row>
    <row r="11">
      <c r="A11" s="16" t="inlineStr">
        <is>
          <t>PLAN INICIAL</t>
        </is>
      </c>
      <c r="B11" s="11" t="inlineStr">
        <is>
          <t>Ingreso por abono</t>
        </is>
      </c>
      <c r="C11" s="23">
        <f>'Proyección de ventas'!C22*Planes!$D$7*1</f>
        <v/>
      </c>
      <c r="D11" s="23">
        <f>'Proyección de ventas'!D22*Planes!$D$7*1</f>
        <v/>
      </c>
      <c r="E11" s="23">
        <f>'Proyección de ventas'!E22*Planes!$D$7*1</f>
        <v/>
      </c>
      <c r="F11" s="23">
        <f>'Proyección de ventas'!F22*Planes!$D$7*1</f>
        <v/>
      </c>
      <c r="G11" s="23">
        <f>'Proyección de ventas'!G22*Planes!$D$7*1</f>
        <v/>
      </c>
      <c r="H11" s="23">
        <f>'Proyección de ventas'!H22*Planes!$D$7*1</f>
        <v/>
      </c>
      <c r="I11" s="23">
        <f>'Proyección de ventas'!I22*Planes!$D$7*1</f>
        <v/>
      </c>
      <c r="J11" s="23">
        <f>'Proyección de ventas'!J22*Planes!$D$7*1</f>
        <v/>
      </c>
      <c r="K11" s="23">
        <f>'Proyección de ventas'!K22*Planes!$D$7*1</f>
        <v/>
      </c>
      <c r="L11" s="23">
        <f>'Proyección de ventas'!L22*Planes!$D$7*1</f>
        <v/>
      </c>
      <c r="M11" s="23">
        <f>'Proyección de ventas'!M22*Planes!$D$7*1</f>
        <v/>
      </c>
      <c r="N11" s="23">
        <f>'Proyección de ventas'!N22*Planes!$D$7*1</f>
        <v/>
      </c>
      <c r="O11" s="24">
        <f>SUM(C11:N11)</f>
        <v/>
      </c>
      <c r="P11" s="23">
        <f>'Proyección de ventas'!P22*Planes!$D$7*(1+Hipótesis!$D$11)</f>
        <v/>
      </c>
      <c r="Q11" s="23">
        <f>'Proyección de ventas'!Q22*Planes!$D$7*(1+Hipótesis!$D$11)</f>
        <v/>
      </c>
      <c r="R11" s="23">
        <f>'Proyección de ventas'!R22*Planes!$D$7*(1+Hipótesis!$D$11)</f>
        <v/>
      </c>
      <c r="S11" s="23">
        <f>'Proyección de ventas'!S22*Planes!$D$7*(1+Hipótesis!$D$11)</f>
        <v/>
      </c>
      <c r="T11" s="23">
        <f>'Proyección de ventas'!T22*Planes!$D$7*(1+Hipótesis!$D$11)</f>
        <v/>
      </c>
      <c r="U11" s="23">
        <f>'Proyección de ventas'!U22*Planes!$D$7*(1+Hipótesis!$D$11)</f>
        <v/>
      </c>
      <c r="V11" s="23">
        <f>'Proyección de ventas'!V22*Planes!$D$7*(1+Hipótesis!$D$11)</f>
        <v/>
      </c>
      <c r="W11" s="23">
        <f>'Proyección de ventas'!W22*Planes!$D$7*(1+Hipótesis!$D$11)</f>
        <v/>
      </c>
      <c r="X11" s="23">
        <f>'Proyección de ventas'!X22*Planes!$D$7*(1+Hipótesis!$D$11)</f>
        <v/>
      </c>
      <c r="Y11" s="23">
        <f>'Proyección de ventas'!Y22*Planes!$D$7*(1+Hipótesis!$D$11)</f>
        <v/>
      </c>
      <c r="Z11" s="23">
        <f>'Proyección de ventas'!Z22*Planes!$D$7*(1+Hipótesis!$D$11)</f>
        <v/>
      </c>
      <c r="AA11" s="23">
        <f>'Proyección de ventas'!AA22*Planes!$D$7*(1+Hipótesis!$D$11)</f>
        <v/>
      </c>
      <c r="AB11" s="24">
        <f>SUM(P11:AA11)</f>
        <v/>
      </c>
      <c r="AC11" s="23">
        <f>'Proyección de ventas'!AC22*Planes!$D$7*(1+Hipótesis!$D$11)*(1+Hipótesis!$E$11)</f>
        <v/>
      </c>
      <c r="AD11" s="23">
        <f>'Proyección de ventas'!AD22*Planes!$D$7*(1+Hipótesis!$D$11)*(1+Hipótesis!$E$11)</f>
        <v/>
      </c>
      <c r="AE11" s="23">
        <f>'Proyección de ventas'!AE22*Planes!$D$7*(1+Hipótesis!$D$11)*(1+Hipótesis!$E$11)</f>
        <v/>
      </c>
      <c r="AF11" s="23">
        <f>'Proyección de ventas'!AF22*Planes!$D$7*(1+Hipótesis!$D$11)*(1+Hipótesis!$E$11)</f>
        <v/>
      </c>
      <c r="AG11" s="23">
        <f>'Proyección de ventas'!AG22*Planes!$D$7*(1+Hipótesis!$D$11)*(1+Hipótesis!$E$11)</f>
        <v/>
      </c>
      <c r="AH11" s="23">
        <f>'Proyección de ventas'!AH22*Planes!$D$7*(1+Hipótesis!$D$11)*(1+Hipótesis!$E$11)</f>
        <v/>
      </c>
      <c r="AI11" s="23">
        <f>'Proyección de ventas'!AI22*Planes!$D$7*(1+Hipótesis!$D$11)*(1+Hipótesis!$E$11)</f>
        <v/>
      </c>
      <c r="AJ11" s="23">
        <f>'Proyección de ventas'!AJ22*Planes!$D$7*(1+Hipótesis!$D$11)*(1+Hipótesis!$E$11)</f>
        <v/>
      </c>
      <c r="AK11" s="23">
        <f>'Proyección de ventas'!AK22*Planes!$D$7*(1+Hipótesis!$D$11)*(1+Hipótesis!$E$11)</f>
        <v/>
      </c>
      <c r="AL11" s="23">
        <f>'Proyección de ventas'!AL22*Planes!$D$7*(1+Hipótesis!$D$11)*(1+Hipótesis!$E$11)</f>
        <v/>
      </c>
      <c r="AM11" s="23">
        <f>'Proyección de ventas'!AM22*Planes!$D$7*(1+Hipótesis!$D$11)*(1+Hipótesis!$E$11)</f>
        <v/>
      </c>
      <c r="AN11" s="23">
        <f>'Proyección de ventas'!AN22*Planes!$D$7*(1+Hipótesis!$D$11)*(1+Hipótesis!$E$11)</f>
        <v/>
      </c>
      <c r="AO11" s="24">
        <f>SUM(AC11:AN11)</f>
        <v/>
      </c>
      <c r="AP11" s="23">
        <f>'Proyección de ventas'!AP22*Planes!$D$7*(1+Hipótesis!$D$11)*(1+Hipótesis!$E$11)*(1+Hipótesis!$F$11)</f>
        <v/>
      </c>
      <c r="AQ11" s="23">
        <f>'Proyección de ventas'!AQ22*Planes!$D$7*(1+Hipótesis!$D$11)*(1+Hipótesis!$E$11)*(1+Hipótesis!$F$11)</f>
        <v/>
      </c>
      <c r="AR11" s="23">
        <f>'Proyección de ventas'!AR22*Planes!$D$7*(1+Hipótesis!$D$11)*(1+Hipótesis!$E$11)*(1+Hipótesis!$F$11)</f>
        <v/>
      </c>
      <c r="AS11" s="23">
        <f>'Proyección de ventas'!AS22*Planes!$D$7*(1+Hipótesis!$D$11)*(1+Hipótesis!$E$11)*(1+Hipótesis!$F$11)</f>
        <v/>
      </c>
      <c r="AT11" s="23">
        <f>'Proyección de ventas'!AT22*Planes!$D$7*(1+Hipótesis!$D$11)*(1+Hipótesis!$E$11)*(1+Hipótesis!$F$11)</f>
        <v/>
      </c>
      <c r="AU11" s="23">
        <f>'Proyección de ventas'!AU22*Planes!$D$7*(1+Hipótesis!$D$11)*(1+Hipótesis!$E$11)*(1+Hipótesis!$F$11)</f>
        <v/>
      </c>
      <c r="AV11" s="23">
        <f>'Proyección de ventas'!AV22*Planes!$D$7*(1+Hipótesis!$D$11)*(1+Hipótesis!$E$11)*(1+Hipótesis!$F$11)</f>
        <v/>
      </c>
      <c r="AW11" s="23">
        <f>'Proyección de ventas'!AW22*Planes!$D$7*(1+Hipótesis!$D$11)*(1+Hipótesis!$E$11)*(1+Hipótesis!$F$11)</f>
        <v/>
      </c>
      <c r="AX11" s="23">
        <f>'Proyección de ventas'!AX22*Planes!$D$7*(1+Hipótesis!$D$11)*(1+Hipótesis!$E$11)*(1+Hipótesis!$F$11)</f>
        <v/>
      </c>
      <c r="AY11" s="23">
        <f>'Proyección de ventas'!AY22*Planes!$D$7*(1+Hipótesis!$D$11)*(1+Hipótesis!$E$11)*(1+Hipótesis!$F$11)</f>
        <v/>
      </c>
      <c r="AZ11" s="23">
        <f>'Proyección de ventas'!AZ22*Planes!$D$7*(1+Hipótesis!$D$11)*(1+Hipótesis!$E$11)*(1+Hipótesis!$F$11)</f>
        <v/>
      </c>
      <c r="BA11" s="23">
        <f>'Proyección de ventas'!BA22*Planes!$D$7*(1+Hipótesis!$D$11)*(1+Hipótesis!$E$11)*(1+Hipótesis!$F$11)</f>
        <v/>
      </c>
      <c r="BB11" s="24">
        <f>SUM(AP11:BA11)</f>
        <v/>
      </c>
    </row>
    <row r="12">
      <c r="B12" s="11" t="inlineStr">
        <is>
          <t xml:space="preserve">    Ingreso por equipos adicionales</t>
        </is>
      </c>
      <c r="C12" s="23">
        <f>'Proyección de ventas'!C22*MAX(0,Hipótesis!$C$41-Planes!$E$7)*Planes!$F$7*1</f>
        <v/>
      </c>
      <c r="D12" s="23">
        <f>'Proyección de ventas'!D22*MAX(0,Hipótesis!$C$41-Planes!$E$7)*Planes!$F$7*1</f>
        <v/>
      </c>
      <c r="E12" s="23">
        <f>'Proyección de ventas'!E22*MAX(0,Hipótesis!$C$41-Planes!$E$7)*Planes!$F$7*1</f>
        <v/>
      </c>
      <c r="F12" s="23">
        <f>'Proyección de ventas'!F22*MAX(0,Hipótesis!$C$41-Planes!$E$7)*Planes!$F$7*1</f>
        <v/>
      </c>
      <c r="G12" s="23">
        <f>'Proyección de ventas'!G22*MAX(0,Hipótesis!$C$41-Planes!$E$7)*Planes!$F$7*1</f>
        <v/>
      </c>
      <c r="H12" s="23">
        <f>'Proyección de ventas'!H22*MAX(0,Hipótesis!$C$41-Planes!$E$7)*Planes!$F$7*1</f>
        <v/>
      </c>
      <c r="I12" s="23">
        <f>'Proyección de ventas'!I22*MAX(0,Hipótesis!$C$41-Planes!$E$7)*Planes!$F$7*1</f>
        <v/>
      </c>
      <c r="J12" s="23">
        <f>'Proyección de ventas'!J22*MAX(0,Hipótesis!$C$41-Planes!$E$7)*Planes!$F$7*1</f>
        <v/>
      </c>
      <c r="K12" s="23">
        <f>'Proyección de ventas'!K22*MAX(0,Hipótesis!$C$41-Planes!$E$7)*Planes!$F$7*1</f>
        <v/>
      </c>
      <c r="L12" s="23">
        <f>'Proyección de ventas'!L22*MAX(0,Hipótesis!$C$41-Planes!$E$7)*Planes!$F$7*1</f>
        <v/>
      </c>
      <c r="M12" s="23">
        <f>'Proyección de ventas'!M22*MAX(0,Hipótesis!$C$41-Planes!$E$7)*Planes!$F$7*1</f>
        <v/>
      </c>
      <c r="N12" s="23">
        <f>'Proyección de ventas'!N22*MAX(0,Hipótesis!$C$41-Planes!$E$7)*Planes!$F$7*1</f>
        <v/>
      </c>
      <c r="O12" s="24">
        <f>SUM(C12:N12)</f>
        <v/>
      </c>
      <c r="P12" s="23">
        <f>'Proyección de ventas'!P22*MAX(0,Hipótesis!$D$41-Planes!$E$7)*Planes!$F$7*(1+Hipótesis!$D$11)</f>
        <v/>
      </c>
      <c r="Q12" s="23">
        <f>'Proyección de ventas'!Q22*MAX(0,Hipótesis!$D$41-Planes!$E$7)*Planes!$F$7*(1+Hipótesis!$D$11)</f>
        <v/>
      </c>
      <c r="R12" s="23">
        <f>'Proyección de ventas'!R22*MAX(0,Hipótesis!$D$41-Planes!$E$7)*Planes!$F$7*(1+Hipótesis!$D$11)</f>
        <v/>
      </c>
      <c r="S12" s="23">
        <f>'Proyección de ventas'!S22*MAX(0,Hipótesis!$D$41-Planes!$E$7)*Planes!$F$7*(1+Hipótesis!$D$11)</f>
        <v/>
      </c>
      <c r="T12" s="23">
        <f>'Proyección de ventas'!T22*MAX(0,Hipótesis!$D$41-Planes!$E$7)*Planes!$F$7*(1+Hipótesis!$D$11)</f>
        <v/>
      </c>
      <c r="U12" s="23">
        <f>'Proyección de ventas'!U22*MAX(0,Hipótesis!$D$41-Planes!$E$7)*Planes!$F$7*(1+Hipótesis!$D$11)</f>
        <v/>
      </c>
      <c r="V12" s="23">
        <f>'Proyección de ventas'!V22*MAX(0,Hipótesis!$D$41-Planes!$E$7)*Planes!$F$7*(1+Hipótesis!$D$11)</f>
        <v/>
      </c>
      <c r="W12" s="23">
        <f>'Proyección de ventas'!W22*MAX(0,Hipótesis!$D$41-Planes!$E$7)*Planes!$F$7*(1+Hipótesis!$D$11)</f>
        <v/>
      </c>
      <c r="X12" s="23">
        <f>'Proyección de ventas'!X22*MAX(0,Hipótesis!$D$41-Planes!$E$7)*Planes!$F$7*(1+Hipótesis!$D$11)</f>
        <v/>
      </c>
      <c r="Y12" s="23">
        <f>'Proyección de ventas'!Y22*MAX(0,Hipótesis!$D$41-Planes!$E$7)*Planes!$F$7*(1+Hipótesis!$D$11)</f>
        <v/>
      </c>
      <c r="Z12" s="23">
        <f>'Proyección de ventas'!Z22*MAX(0,Hipótesis!$D$41-Planes!$E$7)*Planes!$F$7*(1+Hipótesis!$D$11)</f>
        <v/>
      </c>
      <c r="AA12" s="23">
        <f>'Proyección de ventas'!AA22*MAX(0,Hipótesis!$D$41-Planes!$E$7)*Planes!$F$7*(1+Hipótesis!$D$11)</f>
        <v/>
      </c>
      <c r="AB12" s="24">
        <f>SUM(P12:AA12)</f>
        <v/>
      </c>
      <c r="AC12" s="23">
        <f>'Proyección de ventas'!AC22*MAX(0,Hipótesis!$E$41-Planes!$E$7)*Planes!$F$7*(1+Hipótesis!$D$11)*(1+Hipótesis!$E$11)</f>
        <v/>
      </c>
      <c r="AD12" s="23">
        <f>'Proyección de ventas'!AD22*MAX(0,Hipótesis!$E$41-Planes!$E$7)*Planes!$F$7*(1+Hipótesis!$D$11)*(1+Hipótesis!$E$11)</f>
        <v/>
      </c>
      <c r="AE12" s="23">
        <f>'Proyección de ventas'!AE22*MAX(0,Hipótesis!$E$41-Planes!$E$7)*Planes!$F$7*(1+Hipótesis!$D$11)*(1+Hipótesis!$E$11)</f>
        <v/>
      </c>
      <c r="AF12" s="23">
        <f>'Proyección de ventas'!AF22*MAX(0,Hipótesis!$E$41-Planes!$E$7)*Planes!$F$7*(1+Hipótesis!$D$11)*(1+Hipótesis!$E$11)</f>
        <v/>
      </c>
      <c r="AG12" s="23">
        <f>'Proyección de ventas'!AG22*MAX(0,Hipótesis!$E$41-Planes!$E$7)*Planes!$F$7*(1+Hipótesis!$D$11)*(1+Hipótesis!$E$11)</f>
        <v/>
      </c>
      <c r="AH12" s="23">
        <f>'Proyección de ventas'!AH22*MAX(0,Hipótesis!$E$41-Planes!$E$7)*Planes!$F$7*(1+Hipótesis!$D$11)*(1+Hipótesis!$E$11)</f>
        <v/>
      </c>
      <c r="AI12" s="23">
        <f>'Proyección de ventas'!AI22*MAX(0,Hipótesis!$E$41-Planes!$E$7)*Planes!$F$7*(1+Hipótesis!$D$11)*(1+Hipótesis!$E$11)</f>
        <v/>
      </c>
      <c r="AJ12" s="23">
        <f>'Proyección de ventas'!AJ22*MAX(0,Hipótesis!$E$41-Planes!$E$7)*Planes!$F$7*(1+Hipótesis!$D$11)*(1+Hipótesis!$E$11)</f>
        <v/>
      </c>
      <c r="AK12" s="23">
        <f>'Proyección de ventas'!AK22*MAX(0,Hipótesis!$E$41-Planes!$E$7)*Planes!$F$7*(1+Hipótesis!$D$11)*(1+Hipótesis!$E$11)</f>
        <v/>
      </c>
      <c r="AL12" s="23">
        <f>'Proyección de ventas'!AL22*MAX(0,Hipótesis!$E$41-Planes!$E$7)*Planes!$F$7*(1+Hipótesis!$D$11)*(1+Hipótesis!$E$11)</f>
        <v/>
      </c>
      <c r="AM12" s="23">
        <f>'Proyección de ventas'!AM22*MAX(0,Hipótesis!$E$41-Planes!$E$7)*Planes!$F$7*(1+Hipótesis!$D$11)*(1+Hipótesis!$E$11)</f>
        <v/>
      </c>
      <c r="AN12" s="23">
        <f>'Proyección de ventas'!AN22*MAX(0,Hipótesis!$E$41-Planes!$E$7)*Planes!$F$7*(1+Hipótesis!$D$11)*(1+Hipótesis!$E$11)</f>
        <v/>
      </c>
      <c r="AO12" s="24">
        <f>SUM(AC12:AN12)</f>
        <v/>
      </c>
      <c r="AP12" s="23">
        <f>'Proyección de ventas'!AP22*MAX(0,Hipótesis!$F$41-Planes!$E$7)*Planes!$F$7*(1+Hipótesis!$D$11)*(1+Hipótesis!$E$11)*(1+Hipótesis!$F$11)</f>
        <v/>
      </c>
      <c r="AQ12" s="23">
        <f>'Proyección de ventas'!AQ22*MAX(0,Hipótesis!$F$41-Planes!$E$7)*Planes!$F$7*(1+Hipótesis!$D$11)*(1+Hipótesis!$E$11)*(1+Hipótesis!$F$11)</f>
        <v/>
      </c>
      <c r="AR12" s="23">
        <f>'Proyección de ventas'!AR22*MAX(0,Hipótesis!$F$41-Planes!$E$7)*Planes!$F$7*(1+Hipótesis!$D$11)*(1+Hipótesis!$E$11)*(1+Hipótesis!$F$11)</f>
        <v/>
      </c>
      <c r="AS12" s="23">
        <f>'Proyección de ventas'!AS22*MAX(0,Hipótesis!$F$41-Planes!$E$7)*Planes!$F$7*(1+Hipótesis!$D$11)*(1+Hipótesis!$E$11)*(1+Hipótesis!$F$11)</f>
        <v/>
      </c>
      <c r="AT12" s="23">
        <f>'Proyección de ventas'!AT22*MAX(0,Hipótesis!$F$41-Planes!$E$7)*Planes!$F$7*(1+Hipótesis!$D$11)*(1+Hipótesis!$E$11)*(1+Hipótesis!$F$11)</f>
        <v/>
      </c>
      <c r="AU12" s="23">
        <f>'Proyección de ventas'!AU22*MAX(0,Hipótesis!$F$41-Planes!$E$7)*Planes!$F$7*(1+Hipótesis!$D$11)*(1+Hipótesis!$E$11)*(1+Hipótesis!$F$11)</f>
        <v/>
      </c>
      <c r="AV12" s="23">
        <f>'Proyección de ventas'!AV22*MAX(0,Hipótesis!$F$41-Planes!$E$7)*Planes!$F$7*(1+Hipótesis!$D$11)*(1+Hipótesis!$E$11)*(1+Hipótesis!$F$11)</f>
        <v/>
      </c>
      <c r="AW12" s="23">
        <f>'Proyección de ventas'!AW22*MAX(0,Hipótesis!$F$41-Planes!$E$7)*Planes!$F$7*(1+Hipótesis!$D$11)*(1+Hipótesis!$E$11)*(1+Hipótesis!$F$11)</f>
        <v/>
      </c>
      <c r="AX12" s="23">
        <f>'Proyección de ventas'!AX22*MAX(0,Hipótesis!$F$41-Planes!$E$7)*Planes!$F$7*(1+Hipótesis!$D$11)*(1+Hipótesis!$E$11)*(1+Hipótesis!$F$11)</f>
        <v/>
      </c>
      <c r="AY12" s="23">
        <f>'Proyección de ventas'!AY22*MAX(0,Hipótesis!$F$41-Planes!$E$7)*Planes!$F$7*(1+Hipótesis!$D$11)*(1+Hipótesis!$E$11)*(1+Hipótesis!$F$11)</f>
        <v/>
      </c>
      <c r="AZ12" s="23">
        <f>'Proyección de ventas'!AZ22*MAX(0,Hipótesis!$F$41-Planes!$E$7)*Planes!$F$7*(1+Hipótesis!$D$11)*(1+Hipótesis!$E$11)*(1+Hipótesis!$F$11)</f>
        <v/>
      </c>
      <c r="BA12" s="23">
        <f>'Proyección de ventas'!BA22*MAX(0,Hipótesis!$F$41-Planes!$E$7)*Planes!$F$7*(1+Hipótesis!$D$11)*(1+Hipótesis!$E$11)*(1+Hipótesis!$F$11)</f>
        <v/>
      </c>
      <c r="BB12" s="24">
        <f>SUM(AP12:BA12)</f>
        <v/>
      </c>
    </row>
    <row r="13">
      <c r="B13" s="16" t="inlineStr">
        <is>
          <t>Total de la línea</t>
        </is>
      </c>
      <c r="C13" s="15">
        <f>C11+C12</f>
        <v/>
      </c>
      <c r="D13" s="15">
        <f>D11+D12</f>
        <v/>
      </c>
      <c r="E13" s="15">
        <f>E11+E12</f>
        <v/>
      </c>
      <c r="F13" s="15">
        <f>F11+F12</f>
        <v/>
      </c>
      <c r="G13" s="15">
        <f>G11+G12</f>
        <v/>
      </c>
      <c r="H13" s="15">
        <f>H11+H12</f>
        <v/>
      </c>
      <c r="I13" s="15">
        <f>I11+I12</f>
        <v/>
      </c>
      <c r="J13" s="15">
        <f>J11+J12</f>
        <v/>
      </c>
      <c r="K13" s="15">
        <f>K11+K12</f>
        <v/>
      </c>
      <c r="L13" s="15">
        <f>L11+L12</f>
        <v/>
      </c>
      <c r="M13" s="15">
        <f>M11+M12</f>
        <v/>
      </c>
      <c r="N13" s="15">
        <f>N11+N12</f>
        <v/>
      </c>
      <c r="O13" s="24">
        <f>SUM(C13:N13)</f>
        <v/>
      </c>
      <c r="P13" s="15">
        <f>P11+P12</f>
        <v/>
      </c>
      <c r="Q13" s="15">
        <f>Q11+Q12</f>
        <v/>
      </c>
      <c r="R13" s="15">
        <f>R11+R12</f>
        <v/>
      </c>
      <c r="S13" s="15">
        <f>S11+S12</f>
        <v/>
      </c>
      <c r="T13" s="15">
        <f>T11+T12</f>
        <v/>
      </c>
      <c r="U13" s="15">
        <f>U11+U12</f>
        <v/>
      </c>
      <c r="V13" s="15">
        <f>V11+V12</f>
        <v/>
      </c>
      <c r="W13" s="15">
        <f>W11+W12</f>
        <v/>
      </c>
      <c r="X13" s="15">
        <f>X11+X12</f>
        <v/>
      </c>
      <c r="Y13" s="15">
        <f>Y11+Y12</f>
        <v/>
      </c>
      <c r="Z13" s="15">
        <f>Z11+Z12</f>
        <v/>
      </c>
      <c r="AA13" s="15">
        <f>AA11+AA12</f>
        <v/>
      </c>
      <c r="AB13" s="24">
        <f>SUM(P13:AA13)</f>
        <v/>
      </c>
      <c r="AC13" s="15">
        <f>AC11+AC12</f>
        <v/>
      </c>
      <c r="AD13" s="15">
        <f>AD11+AD12</f>
        <v/>
      </c>
      <c r="AE13" s="15">
        <f>AE11+AE12</f>
        <v/>
      </c>
      <c r="AF13" s="15">
        <f>AF11+AF12</f>
        <v/>
      </c>
      <c r="AG13" s="15">
        <f>AG11+AG12</f>
        <v/>
      </c>
      <c r="AH13" s="15">
        <f>AH11+AH12</f>
        <v/>
      </c>
      <c r="AI13" s="15">
        <f>AI11+AI12</f>
        <v/>
      </c>
      <c r="AJ13" s="15">
        <f>AJ11+AJ12</f>
        <v/>
      </c>
      <c r="AK13" s="15">
        <f>AK11+AK12</f>
        <v/>
      </c>
      <c r="AL13" s="15">
        <f>AL11+AL12</f>
        <v/>
      </c>
      <c r="AM13" s="15">
        <f>AM11+AM12</f>
        <v/>
      </c>
      <c r="AN13" s="15">
        <f>AN11+AN12</f>
        <v/>
      </c>
      <c r="AO13" s="24">
        <f>SUM(AC13:AN13)</f>
        <v/>
      </c>
      <c r="AP13" s="15">
        <f>AP11+AP12</f>
        <v/>
      </c>
      <c r="AQ13" s="15">
        <f>AQ11+AQ12</f>
        <v/>
      </c>
      <c r="AR13" s="15">
        <f>AR11+AR12</f>
        <v/>
      </c>
      <c r="AS13" s="15">
        <f>AS11+AS12</f>
        <v/>
      </c>
      <c r="AT13" s="15">
        <f>AT11+AT12</f>
        <v/>
      </c>
      <c r="AU13" s="15">
        <f>AU11+AU12</f>
        <v/>
      </c>
      <c r="AV13" s="15">
        <f>AV11+AV12</f>
        <v/>
      </c>
      <c r="AW13" s="15">
        <f>AW11+AW12</f>
        <v/>
      </c>
      <c r="AX13" s="15">
        <f>AX11+AX12</f>
        <v/>
      </c>
      <c r="AY13" s="15">
        <f>AY11+AY12</f>
        <v/>
      </c>
      <c r="AZ13" s="15">
        <f>AZ11+AZ12</f>
        <v/>
      </c>
      <c r="BA13" s="15">
        <f>BA11+BA12</f>
        <v/>
      </c>
      <c r="BB13" s="24">
        <f>SUM(AP13:BA13)</f>
        <v/>
      </c>
    </row>
    <row r="14"/>
    <row r="15">
      <c r="B15" s="39" t="inlineStr">
        <is>
          <t>Plan Estándar</t>
        </is>
      </c>
    </row>
    <row r="16">
      <c r="A16" s="16" t="inlineStr">
        <is>
          <t>PLAN ESTÁNDAR</t>
        </is>
      </c>
      <c r="B16" s="11" t="inlineStr">
        <is>
          <t>Ingreso por abono</t>
        </is>
      </c>
      <c r="C16" s="23">
        <f>'Proyección de ventas'!C29*Planes!$D$8*1</f>
        <v/>
      </c>
      <c r="D16" s="23">
        <f>'Proyección de ventas'!D29*Planes!$D$8*1</f>
        <v/>
      </c>
      <c r="E16" s="23">
        <f>'Proyección de ventas'!E29*Planes!$D$8*1</f>
        <v/>
      </c>
      <c r="F16" s="23">
        <f>'Proyección de ventas'!F29*Planes!$D$8*1</f>
        <v/>
      </c>
      <c r="G16" s="23">
        <f>'Proyección de ventas'!G29*Planes!$D$8*1</f>
        <v/>
      </c>
      <c r="H16" s="23">
        <f>'Proyección de ventas'!H29*Planes!$D$8*1</f>
        <v/>
      </c>
      <c r="I16" s="23">
        <f>'Proyección de ventas'!I29*Planes!$D$8*1</f>
        <v/>
      </c>
      <c r="J16" s="23">
        <f>'Proyección de ventas'!J29*Planes!$D$8*1</f>
        <v/>
      </c>
      <c r="K16" s="23">
        <f>'Proyección de ventas'!K29*Planes!$D$8*1</f>
        <v/>
      </c>
      <c r="L16" s="23">
        <f>'Proyección de ventas'!L29*Planes!$D$8*1</f>
        <v/>
      </c>
      <c r="M16" s="23">
        <f>'Proyección de ventas'!M29*Planes!$D$8*1</f>
        <v/>
      </c>
      <c r="N16" s="23">
        <f>'Proyección de ventas'!N29*Planes!$D$8*1</f>
        <v/>
      </c>
      <c r="O16" s="24">
        <f>SUM(C16:N16)</f>
        <v/>
      </c>
      <c r="P16" s="23">
        <f>'Proyección de ventas'!P29*Planes!$D$8*(1+Hipótesis!$D$11)</f>
        <v/>
      </c>
      <c r="Q16" s="23">
        <f>'Proyección de ventas'!Q29*Planes!$D$8*(1+Hipótesis!$D$11)</f>
        <v/>
      </c>
      <c r="R16" s="23">
        <f>'Proyección de ventas'!R29*Planes!$D$8*(1+Hipótesis!$D$11)</f>
        <v/>
      </c>
      <c r="S16" s="23">
        <f>'Proyección de ventas'!S29*Planes!$D$8*(1+Hipótesis!$D$11)</f>
        <v/>
      </c>
      <c r="T16" s="23">
        <f>'Proyección de ventas'!T29*Planes!$D$8*(1+Hipótesis!$D$11)</f>
        <v/>
      </c>
      <c r="U16" s="23">
        <f>'Proyección de ventas'!U29*Planes!$D$8*(1+Hipótesis!$D$11)</f>
        <v/>
      </c>
      <c r="V16" s="23">
        <f>'Proyección de ventas'!V29*Planes!$D$8*(1+Hipótesis!$D$11)</f>
        <v/>
      </c>
      <c r="W16" s="23">
        <f>'Proyección de ventas'!W29*Planes!$D$8*(1+Hipótesis!$D$11)</f>
        <v/>
      </c>
      <c r="X16" s="23">
        <f>'Proyección de ventas'!X29*Planes!$D$8*(1+Hipótesis!$D$11)</f>
        <v/>
      </c>
      <c r="Y16" s="23">
        <f>'Proyección de ventas'!Y29*Planes!$D$8*(1+Hipótesis!$D$11)</f>
        <v/>
      </c>
      <c r="Z16" s="23">
        <f>'Proyección de ventas'!Z29*Planes!$D$8*(1+Hipótesis!$D$11)</f>
        <v/>
      </c>
      <c r="AA16" s="23">
        <f>'Proyección de ventas'!AA29*Planes!$D$8*(1+Hipótesis!$D$11)</f>
        <v/>
      </c>
      <c r="AB16" s="24">
        <f>SUM(P16:AA16)</f>
        <v/>
      </c>
      <c r="AC16" s="23">
        <f>'Proyección de ventas'!AC29*Planes!$D$8*(1+Hipótesis!$D$11)*(1+Hipótesis!$E$11)</f>
        <v/>
      </c>
      <c r="AD16" s="23">
        <f>'Proyección de ventas'!AD29*Planes!$D$8*(1+Hipótesis!$D$11)*(1+Hipótesis!$E$11)</f>
        <v/>
      </c>
      <c r="AE16" s="23">
        <f>'Proyección de ventas'!AE29*Planes!$D$8*(1+Hipótesis!$D$11)*(1+Hipótesis!$E$11)</f>
        <v/>
      </c>
      <c r="AF16" s="23">
        <f>'Proyección de ventas'!AF29*Planes!$D$8*(1+Hipótesis!$D$11)*(1+Hipótesis!$E$11)</f>
        <v/>
      </c>
      <c r="AG16" s="23">
        <f>'Proyección de ventas'!AG29*Planes!$D$8*(1+Hipótesis!$D$11)*(1+Hipótesis!$E$11)</f>
        <v/>
      </c>
      <c r="AH16" s="23">
        <f>'Proyección de ventas'!AH29*Planes!$D$8*(1+Hipótesis!$D$11)*(1+Hipótesis!$E$11)</f>
        <v/>
      </c>
      <c r="AI16" s="23">
        <f>'Proyección de ventas'!AI29*Planes!$D$8*(1+Hipótesis!$D$11)*(1+Hipótesis!$E$11)</f>
        <v/>
      </c>
      <c r="AJ16" s="23">
        <f>'Proyección de ventas'!AJ29*Planes!$D$8*(1+Hipótesis!$D$11)*(1+Hipótesis!$E$11)</f>
        <v/>
      </c>
      <c r="AK16" s="23">
        <f>'Proyección de ventas'!AK29*Planes!$D$8*(1+Hipótesis!$D$11)*(1+Hipótesis!$E$11)</f>
        <v/>
      </c>
      <c r="AL16" s="23">
        <f>'Proyección de ventas'!AL29*Planes!$D$8*(1+Hipótesis!$D$11)*(1+Hipótesis!$E$11)</f>
        <v/>
      </c>
      <c r="AM16" s="23">
        <f>'Proyección de ventas'!AM29*Planes!$D$8*(1+Hipótesis!$D$11)*(1+Hipótesis!$E$11)</f>
        <v/>
      </c>
      <c r="AN16" s="23">
        <f>'Proyección de ventas'!AN29*Planes!$D$8*(1+Hipótesis!$D$11)*(1+Hipótesis!$E$11)</f>
        <v/>
      </c>
      <c r="AO16" s="24">
        <f>SUM(AC16:AN16)</f>
        <v/>
      </c>
      <c r="AP16" s="23">
        <f>'Proyección de ventas'!AP29*Planes!$D$8*(1+Hipótesis!$D$11)*(1+Hipótesis!$E$11)*(1+Hipótesis!$F$11)</f>
        <v/>
      </c>
      <c r="AQ16" s="23">
        <f>'Proyección de ventas'!AQ29*Planes!$D$8*(1+Hipótesis!$D$11)*(1+Hipótesis!$E$11)*(1+Hipótesis!$F$11)</f>
        <v/>
      </c>
      <c r="AR16" s="23">
        <f>'Proyección de ventas'!AR29*Planes!$D$8*(1+Hipótesis!$D$11)*(1+Hipótesis!$E$11)*(1+Hipótesis!$F$11)</f>
        <v/>
      </c>
      <c r="AS16" s="23">
        <f>'Proyección de ventas'!AS29*Planes!$D$8*(1+Hipótesis!$D$11)*(1+Hipótesis!$E$11)*(1+Hipótesis!$F$11)</f>
        <v/>
      </c>
      <c r="AT16" s="23">
        <f>'Proyección de ventas'!AT29*Planes!$D$8*(1+Hipótesis!$D$11)*(1+Hipótesis!$E$11)*(1+Hipótesis!$F$11)</f>
        <v/>
      </c>
      <c r="AU16" s="23">
        <f>'Proyección de ventas'!AU29*Planes!$D$8*(1+Hipótesis!$D$11)*(1+Hipótesis!$E$11)*(1+Hipótesis!$F$11)</f>
        <v/>
      </c>
      <c r="AV16" s="23">
        <f>'Proyección de ventas'!AV29*Planes!$D$8*(1+Hipótesis!$D$11)*(1+Hipótesis!$E$11)*(1+Hipótesis!$F$11)</f>
        <v/>
      </c>
      <c r="AW16" s="23">
        <f>'Proyección de ventas'!AW29*Planes!$D$8*(1+Hipótesis!$D$11)*(1+Hipótesis!$E$11)*(1+Hipótesis!$F$11)</f>
        <v/>
      </c>
      <c r="AX16" s="23">
        <f>'Proyección de ventas'!AX29*Planes!$D$8*(1+Hipótesis!$D$11)*(1+Hipótesis!$E$11)*(1+Hipótesis!$F$11)</f>
        <v/>
      </c>
      <c r="AY16" s="23">
        <f>'Proyección de ventas'!AY29*Planes!$D$8*(1+Hipótesis!$D$11)*(1+Hipótesis!$E$11)*(1+Hipótesis!$F$11)</f>
        <v/>
      </c>
      <c r="AZ16" s="23">
        <f>'Proyección de ventas'!AZ29*Planes!$D$8*(1+Hipótesis!$D$11)*(1+Hipótesis!$E$11)*(1+Hipótesis!$F$11)</f>
        <v/>
      </c>
      <c r="BA16" s="23">
        <f>'Proyección de ventas'!BA29*Planes!$D$8*(1+Hipótesis!$D$11)*(1+Hipótesis!$E$11)*(1+Hipótesis!$F$11)</f>
        <v/>
      </c>
      <c r="BB16" s="24">
        <f>SUM(AP16:BA16)</f>
        <v/>
      </c>
    </row>
    <row r="17">
      <c r="B17" s="11" t="inlineStr">
        <is>
          <t xml:space="preserve">    Ingreso por equipos adicionales</t>
        </is>
      </c>
      <c r="C17" s="23">
        <f>'Proyección de ventas'!C29*MAX(0,Hipótesis!$C$42-Planes!$E$8)*Planes!$F$8*1</f>
        <v/>
      </c>
      <c r="D17" s="23">
        <f>'Proyección de ventas'!D29*MAX(0,Hipótesis!$C$42-Planes!$E$8)*Planes!$F$8*1</f>
        <v/>
      </c>
      <c r="E17" s="23">
        <f>'Proyección de ventas'!E29*MAX(0,Hipótesis!$C$42-Planes!$E$8)*Planes!$F$8*1</f>
        <v/>
      </c>
      <c r="F17" s="23">
        <f>'Proyección de ventas'!F29*MAX(0,Hipótesis!$C$42-Planes!$E$8)*Planes!$F$8*1</f>
        <v/>
      </c>
      <c r="G17" s="23">
        <f>'Proyección de ventas'!G29*MAX(0,Hipótesis!$C$42-Planes!$E$8)*Planes!$F$8*1</f>
        <v/>
      </c>
      <c r="H17" s="23">
        <f>'Proyección de ventas'!H29*MAX(0,Hipótesis!$C$42-Planes!$E$8)*Planes!$F$8*1</f>
        <v/>
      </c>
      <c r="I17" s="23">
        <f>'Proyección de ventas'!I29*MAX(0,Hipótesis!$C$42-Planes!$E$8)*Planes!$F$8*1</f>
        <v/>
      </c>
      <c r="J17" s="23">
        <f>'Proyección de ventas'!J29*MAX(0,Hipótesis!$C$42-Planes!$E$8)*Planes!$F$8*1</f>
        <v/>
      </c>
      <c r="K17" s="23">
        <f>'Proyección de ventas'!K29*MAX(0,Hipótesis!$C$42-Planes!$E$8)*Planes!$F$8*1</f>
        <v/>
      </c>
      <c r="L17" s="23">
        <f>'Proyección de ventas'!L29*MAX(0,Hipótesis!$C$42-Planes!$E$8)*Planes!$F$8*1</f>
        <v/>
      </c>
      <c r="M17" s="23">
        <f>'Proyección de ventas'!M29*MAX(0,Hipótesis!$C$42-Planes!$E$8)*Planes!$F$8*1</f>
        <v/>
      </c>
      <c r="N17" s="23">
        <f>'Proyección de ventas'!N29*MAX(0,Hipótesis!$C$42-Planes!$E$8)*Planes!$F$8*1</f>
        <v/>
      </c>
      <c r="O17" s="24">
        <f>SUM(C17:N17)</f>
        <v/>
      </c>
      <c r="P17" s="23">
        <f>'Proyección de ventas'!P29*MAX(0,Hipótesis!$D$42-Planes!$E$8)*Planes!$F$8*(1+Hipótesis!$D$11)</f>
        <v/>
      </c>
      <c r="Q17" s="23">
        <f>'Proyección de ventas'!Q29*MAX(0,Hipótesis!$D$42-Planes!$E$8)*Planes!$F$8*(1+Hipótesis!$D$11)</f>
        <v/>
      </c>
      <c r="R17" s="23">
        <f>'Proyección de ventas'!R29*MAX(0,Hipótesis!$D$42-Planes!$E$8)*Planes!$F$8*(1+Hipótesis!$D$11)</f>
        <v/>
      </c>
      <c r="S17" s="23">
        <f>'Proyección de ventas'!S29*MAX(0,Hipótesis!$D$42-Planes!$E$8)*Planes!$F$8*(1+Hipótesis!$D$11)</f>
        <v/>
      </c>
      <c r="T17" s="23">
        <f>'Proyección de ventas'!T29*MAX(0,Hipótesis!$D$42-Planes!$E$8)*Planes!$F$8*(1+Hipótesis!$D$11)</f>
        <v/>
      </c>
      <c r="U17" s="23">
        <f>'Proyección de ventas'!U29*MAX(0,Hipótesis!$D$42-Planes!$E$8)*Planes!$F$8*(1+Hipótesis!$D$11)</f>
        <v/>
      </c>
      <c r="V17" s="23">
        <f>'Proyección de ventas'!V29*MAX(0,Hipótesis!$D$42-Planes!$E$8)*Planes!$F$8*(1+Hipótesis!$D$11)</f>
        <v/>
      </c>
      <c r="W17" s="23">
        <f>'Proyección de ventas'!W29*MAX(0,Hipótesis!$D$42-Planes!$E$8)*Planes!$F$8*(1+Hipótesis!$D$11)</f>
        <v/>
      </c>
      <c r="X17" s="23">
        <f>'Proyección de ventas'!X29*MAX(0,Hipótesis!$D$42-Planes!$E$8)*Planes!$F$8*(1+Hipótesis!$D$11)</f>
        <v/>
      </c>
      <c r="Y17" s="23">
        <f>'Proyección de ventas'!Y29*MAX(0,Hipótesis!$D$42-Planes!$E$8)*Planes!$F$8*(1+Hipótesis!$D$11)</f>
        <v/>
      </c>
      <c r="Z17" s="23">
        <f>'Proyección de ventas'!Z29*MAX(0,Hipótesis!$D$42-Planes!$E$8)*Planes!$F$8*(1+Hipótesis!$D$11)</f>
        <v/>
      </c>
      <c r="AA17" s="23">
        <f>'Proyección de ventas'!AA29*MAX(0,Hipótesis!$D$42-Planes!$E$8)*Planes!$F$8*(1+Hipótesis!$D$11)</f>
        <v/>
      </c>
      <c r="AB17" s="24">
        <f>SUM(P17:AA17)</f>
        <v/>
      </c>
      <c r="AC17" s="23">
        <f>'Proyección de ventas'!AC29*MAX(0,Hipótesis!$E$42-Planes!$E$8)*Planes!$F$8*(1+Hipótesis!$D$11)*(1+Hipótesis!$E$11)</f>
        <v/>
      </c>
      <c r="AD17" s="23">
        <f>'Proyección de ventas'!AD29*MAX(0,Hipótesis!$E$42-Planes!$E$8)*Planes!$F$8*(1+Hipótesis!$D$11)*(1+Hipótesis!$E$11)</f>
        <v/>
      </c>
      <c r="AE17" s="23">
        <f>'Proyección de ventas'!AE29*MAX(0,Hipótesis!$E$42-Planes!$E$8)*Planes!$F$8*(1+Hipótesis!$D$11)*(1+Hipótesis!$E$11)</f>
        <v/>
      </c>
      <c r="AF17" s="23">
        <f>'Proyección de ventas'!AF29*MAX(0,Hipótesis!$E$42-Planes!$E$8)*Planes!$F$8*(1+Hipótesis!$D$11)*(1+Hipótesis!$E$11)</f>
        <v/>
      </c>
      <c r="AG17" s="23">
        <f>'Proyección de ventas'!AG29*MAX(0,Hipótesis!$E$42-Planes!$E$8)*Planes!$F$8*(1+Hipótesis!$D$11)*(1+Hipótesis!$E$11)</f>
        <v/>
      </c>
      <c r="AH17" s="23">
        <f>'Proyección de ventas'!AH29*MAX(0,Hipótesis!$E$42-Planes!$E$8)*Planes!$F$8*(1+Hipótesis!$D$11)*(1+Hipótesis!$E$11)</f>
        <v/>
      </c>
      <c r="AI17" s="23">
        <f>'Proyección de ventas'!AI29*MAX(0,Hipótesis!$E$42-Planes!$E$8)*Planes!$F$8*(1+Hipótesis!$D$11)*(1+Hipótesis!$E$11)</f>
        <v/>
      </c>
      <c r="AJ17" s="23">
        <f>'Proyección de ventas'!AJ29*MAX(0,Hipótesis!$E$42-Planes!$E$8)*Planes!$F$8*(1+Hipótesis!$D$11)*(1+Hipótesis!$E$11)</f>
        <v/>
      </c>
      <c r="AK17" s="23">
        <f>'Proyección de ventas'!AK29*MAX(0,Hipótesis!$E$42-Planes!$E$8)*Planes!$F$8*(1+Hipótesis!$D$11)*(1+Hipótesis!$E$11)</f>
        <v/>
      </c>
      <c r="AL17" s="23">
        <f>'Proyección de ventas'!AL29*MAX(0,Hipótesis!$E$42-Planes!$E$8)*Planes!$F$8*(1+Hipótesis!$D$11)*(1+Hipótesis!$E$11)</f>
        <v/>
      </c>
      <c r="AM17" s="23">
        <f>'Proyección de ventas'!AM29*MAX(0,Hipótesis!$E$42-Planes!$E$8)*Planes!$F$8*(1+Hipótesis!$D$11)*(1+Hipótesis!$E$11)</f>
        <v/>
      </c>
      <c r="AN17" s="23">
        <f>'Proyección de ventas'!AN29*MAX(0,Hipótesis!$E$42-Planes!$E$8)*Planes!$F$8*(1+Hipótesis!$D$11)*(1+Hipótesis!$E$11)</f>
        <v/>
      </c>
      <c r="AO17" s="24">
        <f>SUM(AC17:AN17)</f>
        <v/>
      </c>
      <c r="AP17" s="23">
        <f>'Proyección de ventas'!AP29*MAX(0,Hipótesis!$F$42-Planes!$E$8)*Planes!$F$8*(1+Hipótesis!$D$11)*(1+Hipótesis!$E$11)*(1+Hipótesis!$F$11)</f>
        <v/>
      </c>
      <c r="AQ17" s="23">
        <f>'Proyección de ventas'!AQ29*MAX(0,Hipótesis!$F$42-Planes!$E$8)*Planes!$F$8*(1+Hipótesis!$D$11)*(1+Hipótesis!$E$11)*(1+Hipótesis!$F$11)</f>
        <v/>
      </c>
      <c r="AR17" s="23">
        <f>'Proyección de ventas'!AR29*MAX(0,Hipótesis!$F$42-Planes!$E$8)*Planes!$F$8*(1+Hipótesis!$D$11)*(1+Hipótesis!$E$11)*(1+Hipótesis!$F$11)</f>
        <v/>
      </c>
      <c r="AS17" s="23">
        <f>'Proyección de ventas'!AS29*MAX(0,Hipótesis!$F$42-Planes!$E$8)*Planes!$F$8*(1+Hipótesis!$D$11)*(1+Hipótesis!$E$11)*(1+Hipótesis!$F$11)</f>
        <v/>
      </c>
      <c r="AT17" s="23">
        <f>'Proyección de ventas'!AT29*MAX(0,Hipótesis!$F$42-Planes!$E$8)*Planes!$F$8*(1+Hipótesis!$D$11)*(1+Hipótesis!$E$11)*(1+Hipótesis!$F$11)</f>
        <v/>
      </c>
      <c r="AU17" s="23">
        <f>'Proyección de ventas'!AU29*MAX(0,Hipótesis!$F$42-Planes!$E$8)*Planes!$F$8*(1+Hipótesis!$D$11)*(1+Hipótesis!$E$11)*(1+Hipótesis!$F$11)</f>
        <v/>
      </c>
      <c r="AV17" s="23">
        <f>'Proyección de ventas'!AV29*MAX(0,Hipótesis!$F$42-Planes!$E$8)*Planes!$F$8*(1+Hipótesis!$D$11)*(1+Hipótesis!$E$11)*(1+Hipótesis!$F$11)</f>
        <v/>
      </c>
      <c r="AW17" s="23">
        <f>'Proyección de ventas'!AW29*MAX(0,Hipótesis!$F$42-Planes!$E$8)*Planes!$F$8*(1+Hipótesis!$D$11)*(1+Hipótesis!$E$11)*(1+Hipótesis!$F$11)</f>
        <v/>
      </c>
      <c r="AX17" s="23">
        <f>'Proyección de ventas'!AX29*MAX(0,Hipótesis!$F$42-Planes!$E$8)*Planes!$F$8*(1+Hipótesis!$D$11)*(1+Hipótesis!$E$11)*(1+Hipótesis!$F$11)</f>
        <v/>
      </c>
      <c r="AY17" s="23">
        <f>'Proyección de ventas'!AY29*MAX(0,Hipótesis!$F$42-Planes!$E$8)*Planes!$F$8*(1+Hipótesis!$D$11)*(1+Hipótesis!$E$11)*(1+Hipótesis!$F$11)</f>
        <v/>
      </c>
      <c r="AZ17" s="23">
        <f>'Proyección de ventas'!AZ29*MAX(0,Hipótesis!$F$42-Planes!$E$8)*Planes!$F$8*(1+Hipótesis!$D$11)*(1+Hipótesis!$E$11)*(1+Hipótesis!$F$11)</f>
        <v/>
      </c>
      <c r="BA17" s="23">
        <f>'Proyección de ventas'!BA29*MAX(0,Hipótesis!$F$42-Planes!$E$8)*Planes!$F$8*(1+Hipótesis!$D$11)*(1+Hipótesis!$E$11)*(1+Hipótesis!$F$11)</f>
        <v/>
      </c>
      <c r="BB17" s="24">
        <f>SUM(AP17:BA17)</f>
        <v/>
      </c>
    </row>
    <row r="18">
      <c r="B18" s="16" t="inlineStr">
        <is>
          <t>Total de la línea</t>
        </is>
      </c>
      <c r="C18" s="15">
        <f>C16+C17</f>
        <v/>
      </c>
      <c r="D18" s="15">
        <f>D16+D17</f>
        <v/>
      </c>
      <c r="E18" s="15">
        <f>E16+E17</f>
        <v/>
      </c>
      <c r="F18" s="15">
        <f>F16+F17</f>
        <v/>
      </c>
      <c r="G18" s="15">
        <f>G16+G17</f>
        <v/>
      </c>
      <c r="H18" s="15">
        <f>H16+H17</f>
        <v/>
      </c>
      <c r="I18" s="15">
        <f>I16+I17</f>
        <v/>
      </c>
      <c r="J18" s="15">
        <f>J16+J17</f>
        <v/>
      </c>
      <c r="K18" s="15">
        <f>K16+K17</f>
        <v/>
      </c>
      <c r="L18" s="15">
        <f>L16+L17</f>
        <v/>
      </c>
      <c r="M18" s="15">
        <f>M16+M17</f>
        <v/>
      </c>
      <c r="N18" s="15">
        <f>N16+N17</f>
        <v/>
      </c>
      <c r="O18" s="24">
        <f>SUM(C18:N18)</f>
        <v/>
      </c>
      <c r="P18" s="15">
        <f>P16+P17</f>
        <v/>
      </c>
      <c r="Q18" s="15">
        <f>Q16+Q17</f>
        <v/>
      </c>
      <c r="R18" s="15">
        <f>R16+R17</f>
        <v/>
      </c>
      <c r="S18" s="15">
        <f>S16+S17</f>
        <v/>
      </c>
      <c r="T18" s="15">
        <f>T16+T17</f>
        <v/>
      </c>
      <c r="U18" s="15">
        <f>U16+U17</f>
        <v/>
      </c>
      <c r="V18" s="15">
        <f>V16+V17</f>
        <v/>
      </c>
      <c r="W18" s="15">
        <f>W16+W17</f>
        <v/>
      </c>
      <c r="X18" s="15">
        <f>X16+X17</f>
        <v/>
      </c>
      <c r="Y18" s="15">
        <f>Y16+Y17</f>
        <v/>
      </c>
      <c r="Z18" s="15">
        <f>Z16+Z17</f>
        <v/>
      </c>
      <c r="AA18" s="15">
        <f>AA16+AA17</f>
        <v/>
      </c>
      <c r="AB18" s="24">
        <f>SUM(P18:AA18)</f>
        <v/>
      </c>
      <c r="AC18" s="15">
        <f>AC16+AC17</f>
        <v/>
      </c>
      <c r="AD18" s="15">
        <f>AD16+AD17</f>
        <v/>
      </c>
      <c r="AE18" s="15">
        <f>AE16+AE17</f>
        <v/>
      </c>
      <c r="AF18" s="15">
        <f>AF16+AF17</f>
        <v/>
      </c>
      <c r="AG18" s="15">
        <f>AG16+AG17</f>
        <v/>
      </c>
      <c r="AH18" s="15">
        <f>AH16+AH17</f>
        <v/>
      </c>
      <c r="AI18" s="15">
        <f>AI16+AI17</f>
        <v/>
      </c>
      <c r="AJ18" s="15">
        <f>AJ16+AJ17</f>
        <v/>
      </c>
      <c r="AK18" s="15">
        <f>AK16+AK17</f>
        <v/>
      </c>
      <c r="AL18" s="15">
        <f>AL16+AL17</f>
        <v/>
      </c>
      <c r="AM18" s="15">
        <f>AM16+AM17</f>
        <v/>
      </c>
      <c r="AN18" s="15">
        <f>AN16+AN17</f>
        <v/>
      </c>
      <c r="AO18" s="24">
        <f>SUM(AC18:AN18)</f>
        <v/>
      </c>
      <c r="AP18" s="15">
        <f>AP16+AP17</f>
        <v/>
      </c>
      <c r="AQ18" s="15">
        <f>AQ16+AQ17</f>
        <v/>
      </c>
      <c r="AR18" s="15">
        <f>AR16+AR17</f>
        <v/>
      </c>
      <c r="AS18" s="15">
        <f>AS16+AS17</f>
        <v/>
      </c>
      <c r="AT18" s="15">
        <f>AT16+AT17</f>
        <v/>
      </c>
      <c r="AU18" s="15">
        <f>AU16+AU17</f>
        <v/>
      </c>
      <c r="AV18" s="15">
        <f>AV16+AV17</f>
        <v/>
      </c>
      <c r="AW18" s="15">
        <f>AW16+AW17</f>
        <v/>
      </c>
      <c r="AX18" s="15">
        <f>AX16+AX17</f>
        <v/>
      </c>
      <c r="AY18" s="15">
        <f>AY16+AY17</f>
        <v/>
      </c>
      <c r="AZ18" s="15">
        <f>AZ16+AZ17</f>
        <v/>
      </c>
      <c r="BA18" s="15">
        <f>BA16+BA17</f>
        <v/>
      </c>
      <c r="BB18" s="24">
        <f>SUM(AP18:BA18)</f>
        <v/>
      </c>
    </row>
    <row r="19"/>
    <row r="20">
      <c r="B20" s="39" t="inlineStr">
        <is>
          <t>Plan Partner</t>
        </is>
      </c>
    </row>
    <row r="21">
      <c r="A21" s="16" t="inlineStr">
        <is>
          <t>PLAN PARTNER</t>
        </is>
      </c>
      <c r="B21" s="11" t="inlineStr">
        <is>
          <t>Ingreso por abono</t>
        </is>
      </c>
      <c r="C21" s="23">
        <f>'Proyección de ventas'!C33*Planes!$D$9*1</f>
        <v/>
      </c>
      <c r="D21" s="23">
        <f>'Proyección de ventas'!D33*Planes!$D$9*1</f>
        <v/>
      </c>
      <c r="E21" s="23">
        <f>'Proyección de ventas'!E33*Planes!$D$9*1</f>
        <v/>
      </c>
      <c r="F21" s="23">
        <f>'Proyección de ventas'!F33*Planes!$D$9*1</f>
        <v/>
      </c>
      <c r="G21" s="23">
        <f>'Proyección de ventas'!G33*Planes!$D$9*1</f>
        <v/>
      </c>
      <c r="H21" s="23">
        <f>'Proyección de ventas'!H33*Planes!$D$9*1</f>
        <v/>
      </c>
      <c r="I21" s="23">
        <f>'Proyección de ventas'!I33*Planes!$D$9*1</f>
        <v/>
      </c>
      <c r="J21" s="23">
        <f>'Proyección de ventas'!J33*Planes!$D$9*1</f>
        <v/>
      </c>
      <c r="K21" s="23">
        <f>'Proyección de ventas'!K33*Planes!$D$9*1</f>
        <v/>
      </c>
      <c r="L21" s="23">
        <f>'Proyección de ventas'!L33*Planes!$D$9*1</f>
        <v/>
      </c>
      <c r="M21" s="23">
        <f>'Proyección de ventas'!M33*Planes!$D$9*1</f>
        <v/>
      </c>
      <c r="N21" s="23">
        <f>'Proyección de ventas'!N33*Planes!$D$9*1</f>
        <v/>
      </c>
      <c r="O21" s="24">
        <f>SUM(C21:N21)</f>
        <v/>
      </c>
      <c r="P21" s="23">
        <f>'Proyección de ventas'!P33*Planes!$D$9*(1+Hipótesis!$D$11)</f>
        <v/>
      </c>
      <c r="Q21" s="23">
        <f>'Proyección de ventas'!Q33*Planes!$D$9*(1+Hipótesis!$D$11)</f>
        <v/>
      </c>
      <c r="R21" s="23">
        <f>'Proyección de ventas'!R33*Planes!$D$9*(1+Hipótesis!$D$11)</f>
        <v/>
      </c>
      <c r="S21" s="23">
        <f>'Proyección de ventas'!S33*Planes!$D$9*(1+Hipótesis!$D$11)</f>
        <v/>
      </c>
      <c r="T21" s="23">
        <f>'Proyección de ventas'!T33*Planes!$D$9*(1+Hipótesis!$D$11)</f>
        <v/>
      </c>
      <c r="U21" s="23">
        <f>'Proyección de ventas'!U33*Planes!$D$9*(1+Hipótesis!$D$11)</f>
        <v/>
      </c>
      <c r="V21" s="23">
        <f>'Proyección de ventas'!V33*Planes!$D$9*(1+Hipótesis!$D$11)</f>
        <v/>
      </c>
      <c r="W21" s="23">
        <f>'Proyección de ventas'!W33*Planes!$D$9*(1+Hipótesis!$D$11)</f>
        <v/>
      </c>
      <c r="X21" s="23">
        <f>'Proyección de ventas'!X33*Planes!$D$9*(1+Hipótesis!$D$11)</f>
        <v/>
      </c>
      <c r="Y21" s="23">
        <f>'Proyección de ventas'!Y33*Planes!$D$9*(1+Hipótesis!$D$11)</f>
        <v/>
      </c>
      <c r="Z21" s="23">
        <f>'Proyección de ventas'!Z33*Planes!$D$9*(1+Hipótesis!$D$11)</f>
        <v/>
      </c>
      <c r="AA21" s="23">
        <f>'Proyección de ventas'!AA33*Planes!$D$9*(1+Hipótesis!$D$11)</f>
        <v/>
      </c>
      <c r="AB21" s="24">
        <f>SUM(P21:AA21)</f>
        <v/>
      </c>
      <c r="AC21" s="23">
        <f>'Proyección de ventas'!AC33*Planes!$D$9*(1+Hipótesis!$D$11)*(1+Hipótesis!$E$11)</f>
        <v/>
      </c>
      <c r="AD21" s="23">
        <f>'Proyección de ventas'!AD33*Planes!$D$9*(1+Hipótesis!$D$11)*(1+Hipótesis!$E$11)</f>
        <v/>
      </c>
      <c r="AE21" s="23">
        <f>'Proyección de ventas'!AE33*Planes!$D$9*(1+Hipótesis!$D$11)*(1+Hipótesis!$E$11)</f>
        <v/>
      </c>
      <c r="AF21" s="23">
        <f>'Proyección de ventas'!AF33*Planes!$D$9*(1+Hipótesis!$D$11)*(1+Hipótesis!$E$11)</f>
        <v/>
      </c>
      <c r="AG21" s="23">
        <f>'Proyección de ventas'!AG33*Planes!$D$9*(1+Hipótesis!$D$11)*(1+Hipótesis!$E$11)</f>
        <v/>
      </c>
      <c r="AH21" s="23">
        <f>'Proyección de ventas'!AH33*Planes!$D$9*(1+Hipótesis!$D$11)*(1+Hipótesis!$E$11)</f>
        <v/>
      </c>
      <c r="AI21" s="23">
        <f>'Proyección de ventas'!AI33*Planes!$D$9*(1+Hipótesis!$D$11)*(1+Hipótesis!$E$11)</f>
        <v/>
      </c>
      <c r="AJ21" s="23">
        <f>'Proyección de ventas'!AJ33*Planes!$D$9*(1+Hipótesis!$D$11)*(1+Hipótesis!$E$11)</f>
        <v/>
      </c>
      <c r="AK21" s="23">
        <f>'Proyección de ventas'!AK33*Planes!$D$9*(1+Hipótesis!$D$11)*(1+Hipótesis!$E$11)</f>
        <v/>
      </c>
      <c r="AL21" s="23">
        <f>'Proyección de ventas'!AL33*Planes!$D$9*(1+Hipótesis!$D$11)*(1+Hipótesis!$E$11)</f>
        <v/>
      </c>
      <c r="AM21" s="23">
        <f>'Proyección de ventas'!AM33*Planes!$D$9*(1+Hipótesis!$D$11)*(1+Hipótesis!$E$11)</f>
        <v/>
      </c>
      <c r="AN21" s="23">
        <f>'Proyección de ventas'!AN33*Planes!$D$9*(1+Hipótesis!$D$11)*(1+Hipótesis!$E$11)</f>
        <v/>
      </c>
      <c r="AO21" s="24">
        <f>SUM(AC21:AN21)</f>
        <v/>
      </c>
      <c r="AP21" s="23">
        <f>'Proyección de ventas'!AP33*Planes!$D$9*(1+Hipótesis!$D$11)*(1+Hipótesis!$E$11)*(1+Hipótesis!$F$11)</f>
        <v/>
      </c>
      <c r="AQ21" s="23">
        <f>'Proyección de ventas'!AQ33*Planes!$D$9*(1+Hipótesis!$D$11)*(1+Hipótesis!$E$11)*(1+Hipótesis!$F$11)</f>
        <v/>
      </c>
      <c r="AR21" s="23">
        <f>'Proyección de ventas'!AR33*Planes!$D$9*(1+Hipótesis!$D$11)*(1+Hipótesis!$E$11)*(1+Hipótesis!$F$11)</f>
        <v/>
      </c>
      <c r="AS21" s="23">
        <f>'Proyección de ventas'!AS33*Planes!$D$9*(1+Hipótesis!$D$11)*(1+Hipótesis!$E$11)*(1+Hipótesis!$F$11)</f>
        <v/>
      </c>
      <c r="AT21" s="23">
        <f>'Proyección de ventas'!AT33*Planes!$D$9*(1+Hipótesis!$D$11)*(1+Hipótesis!$E$11)*(1+Hipótesis!$F$11)</f>
        <v/>
      </c>
      <c r="AU21" s="23">
        <f>'Proyección de ventas'!AU33*Planes!$D$9*(1+Hipótesis!$D$11)*(1+Hipótesis!$E$11)*(1+Hipótesis!$F$11)</f>
        <v/>
      </c>
      <c r="AV21" s="23">
        <f>'Proyección de ventas'!AV33*Planes!$D$9*(1+Hipótesis!$D$11)*(1+Hipótesis!$E$11)*(1+Hipótesis!$F$11)</f>
        <v/>
      </c>
      <c r="AW21" s="23">
        <f>'Proyección de ventas'!AW33*Planes!$D$9*(1+Hipótesis!$D$11)*(1+Hipótesis!$E$11)*(1+Hipótesis!$F$11)</f>
        <v/>
      </c>
      <c r="AX21" s="23">
        <f>'Proyección de ventas'!AX33*Planes!$D$9*(1+Hipótesis!$D$11)*(1+Hipótesis!$E$11)*(1+Hipótesis!$F$11)</f>
        <v/>
      </c>
      <c r="AY21" s="23">
        <f>'Proyección de ventas'!AY33*Planes!$D$9*(1+Hipótesis!$D$11)*(1+Hipótesis!$E$11)*(1+Hipótesis!$F$11)</f>
        <v/>
      </c>
      <c r="AZ21" s="23">
        <f>'Proyección de ventas'!AZ33*Planes!$D$9*(1+Hipótesis!$D$11)*(1+Hipótesis!$E$11)*(1+Hipótesis!$F$11)</f>
        <v/>
      </c>
      <c r="BA21" s="23">
        <f>'Proyección de ventas'!BA33*Planes!$D$9*(1+Hipótesis!$D$11)*(1+Hipótesis!$E$11)*(1+Hipótesis!$F$11)</f>
        <v/>
      </c>
      <c r="BB21" s="24">
        <f>SUM(AP21:BA21)</f>
        <v/>
      </c>
    </row>
    <row r="22">
      <c r="B22" s="11" t="inlineStr">
        <is>
          <t xml:space="preserve">    Ingreso por equipos adicionales</t>
        </is>
      </c>
      <c r="C22" s="23">
        <f>'Proyección de ventas'!C33*MAX(0,Hipótesis!$C$43-Planes!$E$9)*Planes!$F$9*1</f>
        <v/>
      </c>
      <c r="D22" s="23">
        <f>'Proyección de ventas'!D33*MAX(0,Hipótesis!$C$43-Planes!$E$9)*Planes!$F$9*1</f>
        <v/>
      </c>
      <c r="E22" s="23">
        <f>'Proyección de ventas'!E33*MAX(0,Hipótesis!$C$43-Planes!$E$9)*Planes!$F$9*1</f>
        <v/>
      </c>
      <c r="F22" s="23">
        <f>'Proyección de ventas'!F33*MAX(0,Hipótesis!$C$43-Planes!$E$9)*Planes!$F$9*1</f>
        <v/>
      </c>
      <c r="G22" s="23">
        <f>'Proyección de ventas'!G33*MAX(0,Hipótesis!$C$43-Planes!$E$9)*Planes!$F$9*1</f>
        <v/>
      </c>
      <c r="H22" s="23">
        <f>'Proyección de ventas'!H33*MAX(0,Hipótesis!$C$43-Planes!$E$9)*Planes!$F$9*1</f>
        <v/>
      </c>
      <c r="I22" s="23">
        <f>'Proyección de ventas'!I33*MAX(0,Hipótesis!$C$43-Planes!$E$9)*Planes!$F$9*1</f>
        <v/>
      </c>
      <c r="J22" s="23">
        <f>'Proyección de ventas'!J33*MAX(0,Hipótesis!$C$43-Planes!$E$9)*Planes!$F$9*1</f>
        <v/>
      </c>
      <c r="K22" s="23">
        <f>'Proyección de ventas'!K33*MAX(0,Hipótesis!$C$43-Planes!$E$9)*Planes!$F$9*1</f>
        <v/>
      </c>
      <c r="L22" s="23">
        <f>'Proyección de ventas'!L33*MAX(0,Hipótesis!$C$43-Planes!$E$9)*Planes!$F$9*1</f>
        <v/>
      </c>
      <c r="M22" s="23">
        <f>'Proyección de ventas'!M33*MAX(0,Hipótesis!$C$43-Planes!$E$9)*Planes!$F$9*1</f>
        <v/>
      </c>
      <c r="N22" s="23">
        <f>'Proyección de ventas'!N33*MAX(0,Hipótesis!$C$43-Planes!$E$9)*Planes!$F$9*1</f>
        <v/>
      </c>
      <c r="O22" s="24">
        <f>SUM(C22:N22)</f>
        <v/>
      </c>
      <c r="P22" s="23">
        <f>'Proyección de ventas'!P33*MAX(0,Hipótesis!$D$43-Planes!$E$9)*Planes!$F$9*(1+Hipótesis!$D$11)</f>
        <v/>
      </c>
      <c r="Q22" s="23">
        <f>'Proyección de ventas'!Q33*MAX(0,Hipótesis!$D$43-Planes!$E$9)*Planes!$F$9*(1+Hipótesis!$D$11)</f>
        <v/>
      </c>
      <c r="R22" s="23">
        <f>'Proyección de ventas'!R33*MAX(0,Hipótesis!$D$43-Planes!$E$9)*Planes!$F$9*(1+Hipótesis!$D$11)</f>
        <v/>
      </c>
      <c r="S22" s="23">
        <f>'Proyección de ventas'!S33*MAX(0,Hipótesis!$D$43-Planes!$E$9)*Planes!$F$9*(1+Hipótesis!$D$11)</f>
        <v/>
      </c>
      <c r="T22" s="23">
        <f>'Proyección de ventas'!T33*MAX(0,Hipótesis!$D$43-Planes!$E$9)*Planes!$F$9*(1+Hipótesis!$D$11)</f>
        <v/>
      </c>
      <c r="U22" s="23">
        <f>'Proyección de ventas'!U33*MAX(0,Hipótesis!$D$43-Planes!$E$9)*Planes!$F$9*(1+Hipótesis!$D$11)</f>
        <v/>
      </c>
      <c r="V22" s="23">
        <f>'Proyección de ventas'!V33*MAX(0,Hipótesis!$D$43-Planes!$E$9)*Planes!$F$9*(1+Hipótesis!$D$11)</f>
        <v/>
      </c>
      <c r="W22" s="23">
        <f>'Proyección de ventas'!W33*MAX(0,Hipótesis!$D$43-Planes!$E$9)*Planes!$F$9*(1+Hipótesis!$D$11)</f>
        <v/>
      </c>
      <c r="X22" s="23">
        <f>'Proyección de ventas'!X33*MAX(0,Hipótesis!$D$43-Planes!$E$9)*Planes!$F$9*(1+Hipótesis!$D$11)</f>
        <v/>
      </c>
      <c r="Y22" s="23">
        <f>'Proyección de ventas'!Y33*MAX(0,Hipótesis!$D$43-Planes!$E$9)*Planes!$F$9*(1+Hipótesis!$D$11)</f>
        <v/>
      </c>
      <c r="Z22" s="23">
        <f>'Proyección de ventas'!Z33*MAX(0,Hipótesis!$D$43-Planes!$E$9)*Planes!$F$9*(1+Hipótesis!$D$11)</f>
        <v/>
      </c>
      <c r="AA22" s="23">
        <f>'Proyección de ventas'!AA33*MAX(0,Hipótesis!$D$43-Planes!$E$9)*Planes!$F$9*(1+Hipótesis!$D$11)</f>
        <v/>
      </c>
      <c r="AB22" s="24">
        <f>SUM(P22:AA22)</f>
        <v/>
      </c>
      <c r="AC22" s="23">
        <f>'Proyección de ventas'!AC33*MAX(0,Hipótesis!$E$43-Planes!$E$9)*Planes!$F$9*(1+Hipótesis!$D$11)*(1+Hipótesis!$E$11)</f>
        <v/>
      </c>
      <c r="AD22" s="23">
        <f>'Proyección de ventas'!AD33*MAX(0,Hipótesis!$E$43-Planes!$E$9)*Planes!$F$9*(1+Hipótesis!$D$11)*(1+Hipótesis!$E$11)</f>
        <v/>
      </c>
      <c r="AE22" s="23">
        <f>'Proyección de ventas'!AE33*MAX(0,Hipótesis!$E$43-Planes!$E$9)*Planes!$F$9*(1+Hipótesis!$D$11)*(1+Hipótesis!$E$11)</f>
        <v/>
      </c>
      <c r="AF22" s="23">
        <f>'Proyección de ventas'!AF33*MAX(0,Hipótesis!$E$43-Planes!$E$9)*Planes!$F$9*(1+Hipótesis!$D$11)*(1+Hipótesis!$E$11)</f>
        <v/>
      </c>
      <c r="AG22" s="23">
        <f>'Proyección de ventas'!AG33*MAX(0,Hipótesis!$E$43-Planes!$E$9)*Planes!$F$9*(1+Hipótesis!$D$11)*(1+Hipótesis!$E$11)</f>
        <v/>
      </c>
      <c r="AH22" s="23">
        <f>'Proyección de ventas'!AH33*MAX(0,Hipótesis!$E$43-Planes!$E$9)*Planes!$F$9*(1+Hipótesis!$D$11)*(1+Hipótesis!$E$11)</f>
        <v/>
      </c>
      <c r="AI22" s="23">
        <f>'Proyección de ventas'!AI33*MAX(0,Hipótesis!$E$43-Planes!$E$9)*Planes!$F$9*(1+Hipótesis!$D$11)*(1+Hipótesis!$E$11)</f>
        <v/>
      </c>
      <c r="AJ22" s="23">
        <f>'Proyección de ventas'!AJ33*MAX(0,Hipótesis!$E$43-Planes!$E$9)*Planes!$F$9*(1+Hipótesis!$D$11)*(1+Hipótesis!$E$11)</f>
        <v/>
      </c>
      <c r="AK22" s="23">
        <f>'Proyección de ventas'!AK33*MAX(0,Hipótesis!$E$43-Planes!$E$9)*Planes!$F$9*(1+Hipótesis!$D$11)*(1+Hipótesis!$E$11)</f>
        <v/>
      </c>
      <c r="AL22" s="23">
        <f>'Proyección de ventas'!AL33*MAX(0,Hipótesis!$E$43-Planes!$E$9)*Planes!$F$9*(1+Hipótesis!$D$11)*(1+Hipótesis!$E$11)</f>
        <v/>
      </c>
      <c r="AM22" s="23">
        <f>'Proyección de ventas'!AM33*MAX(0,Hipótesis!$E$43-Planes!$E$9)*Planes!$F$9*(1+Hipótesis!$D$11)*(1+Hipótesis!$E$11)</f>
        <v/>
      </c>
      <c r="AN22" s="23">
        <f>'Proyección de ventas'!AN33*MAX(0,Hipótesis!$E$43-Planes!$E$9)*Planes!$F$9*(1+Hipótesis!$D$11)*(1+Hipótesis!$E$11)</f>
        <v/>
      </c>
      <c r="AO22" s="24">
        <f>SUM(AC22:AN22)</f>
        <v/>
      </c>
      <c r="AP22" s="23">
        <f>'Proyección de ventas'!AP33*MAX(0,Hipótesis!$F$43-Planes!$E$9)*Planes!$F$9*(1+Hipótesis!$D$11)*(1+Hipótesis!$E$11)*(1+Hipótesis!$F$11)</f>
        <v/>
      </c>
      <c r="AQ22" s="23">
        <f>'Proyección de ventas'!AQ33*MAX(0,Hipótesis!$F$43-Planes!$E$9)*Planes!$F$9*(1+Hipótesis!$D$11)*(1+Hipótesis!$E$11)*(1+Hipótesis!$F$11)</f>
        <v/>
      </c>
      <c r="AR22" s="23">
        <f>'Proyección de ventas'!AR33*MAX(0,Hipótesis!$F$43-Planes!$E$9)*Planes!$F$9*(1+Hipótesis!$D$11)*(1+Hipótesis!$E$11)*(1+Hipótesis!$F$11)</f>
        <v/>
      </c>
      <c r="AS22" s="23">
        <f>'Proyección de ventas'!AS33*MAX(0,Hipótesis!$F$43-Planes!$E$9)*Planes!$F$9*(1+Hipótesis!$D$11)*(1+Hipótesis!$E$11)*(1+Hipótesis!$F$11)</f>
        <v/>
      </c>
      <c r="AT22" s="23">
        <f>'Proyección de ventas'!AT33*MAX(0,Hipótesis!$F$43-Planes!$E$9)*Planes!$F$9*(1+Hipótesis!$D$11)*(1+Hipótesis!$E$11)*(1+Hipótesis!$F$11)</f>
        <v/>
      </c>
      <c r="AU22" s="23">
        <f>'Proyección de ventas'!AU33*MAX(0,Hipótesis!$F$43-Planes!$E$9)*Planes!$F$9*(1+Hipótesis!$D$11)*(1+Hipótesis!$E$11)*(1+Hipótesis!$F$11)</f>
        <v/>
      </c>
      <c r="AV22" s="23">
        <f>'Proyección de ventas'!AV33*MAX(0,Hipótesis!$F$43-Planes!$E$9)*Planes!$F$9*(1+Hipótesis!$D$11)*(1+Hipótesis!$E$11)*(1+Hipótesis!$F$11)</f>
        <v/>
      </c>
      <c r="AW22" s="23">
        <f>'Proyección de ventas'!AW33*MAX(0,Hipótesis!$F$43-Planes!$E$9)*Planes!$F$9*(1+Hipótesis!$D$11)*(1+Hipótesis!$E$11)*(1+Hipótesis!$F$11)</f>
        <v/>
      </c>
      <c r="AX22" s="23">
        <f>'Proyección de ventas'!AX33*MAX(0,Hipótesis!$F$43-Planes!$E$9)*Planes!$F$9*(1+Hipótesis!$D$11)*(1+Hipótesis!$E$11)*(1+Hipótesis!$F$11)</f>
        <v/>
      </c>
      <c r="AY22" s="23">
        <f>'Proyección de ventas'!AY33*MAX(0,Hipótesis!$F$43-Planes!$E$9)*Planes!$F$9*(1+Hipótesis!$D$11)*(1+Hipótesis!$E$11)*(1+Hipótesis!$F$11)</f>
        <v/>
      </c>
      <c r="AZ22" s="23">
        <f>'Proyección de ventas'!AZ33*MAX(0,Hipótesis!$F$43-Planes!$E$9)*Planes!$F$9*(1+Hipótesis!$D$11)*(1+Hipótesis!$E$11)*(1+Hipótesis!$F$11)</f>
        <v/>
      </c>
      <c r="BA22" s="23">
        <f>'Proyección de ventas'!BA33*MAX(0,Hipótesis!$F$43-Planes!$E$9)*Planes!$F$9*(1+Hipótesis!$D$11)*(1+Hipótesis!$E$11)*(1+Hipótesis!$F$11)</f>
        <v/>
      </c>
      <c r="BB22" s="24">
        <f>SUM(AP22:BA22)</f>
        <v/>
      </c>
    </row>
    <row r="23">
      <c r="B23" s="16" t="inlineStr">
        <is>
          <t>Total de la línea</t>
        </is>
      </c>
      <c r="C23" s="15">
        <f>C21+C22</f>
        <v/>
      </c>
      <c r="D23" s="15">
        <f>D21+D22</f>
        <v/>
      </c>
      <c r="E23" s="15">
        <f>E21+E22</f>
        <v/>
      </c>
      <c r="F23" s="15">
        <f>F21+F22</f>
        <v/>
      </c>
      <c r="G23" s="15">
        <f>G21+G22</f>
        <v/>
      </c>
      <c r="H23" s="15">
        <f>H21+H22</f>
        <v/>
      </c>
      <c r="I23" s="15">
        <f>I21+I22</f>
        <v/>
      </c>
      <c r="J23" s="15">
        <f>J21+J22</f>
        <v/>
      </c>
      <c r="K23" s="15">
        <f>K21+K22</f>
        <v/>
      </c>
      <c r="L23" s="15">
        <f>L21+L22</f>
        <v/>
      </c>
      <c r="M23" s="15">
        <f>M21+M22</f>
        <v/>
      </c>
      <c r="N23" s="15">
        <f>N21+N22</f>
        <v/>
      </c>
      <c r="O23" s="24">
        <f>SUM(C23:N23)</f>
        <v/>
      </c>
      <c r="P23" s="15">
        <f>P21+P22</f>
        <v/>
      </c>
      <c r="Q23" s="15">
        <f>Q21+Q22</f>
        <v/>
      </c>
      <c r="R23" s="15">
        <f>R21+R22</f>
        <v/>
      </c>
      <c r="S23" s="15">
        <f>S21+S22</f>
        <v/>
      </c>
      <c r="T23" s="15">
        <f>T21+T22</f>
        <v/>
      </c>
      <c r="U23" s="15">
        <f>U21+U22</f>
        <v/>
      </c>
      <c r="V23" s="15">
        <f>V21+V22</f>
        <v/>
      </c>
      <c r="W23" s="15">
        <f>W21+W22</f>
        <v/>
      </c>
      <c r="X23" s="15">
        <f>X21+X22</f>
        <v/>
      </c>
      <c r="Y23" s="15">
        <f>Y21+Y22</f>
        <v/>
      </c>
      <c r="Z23" s="15">
        <f>Z21+Z22</f>
        <v/>
      </c>
      <c r="AA23" s="15">
        <f>AA21+AA22</f>
        <v/>
      </c>
      <c r="AB23" s="24">
        <f>SUM(P23:AA23)</f>
        <v/>
      </c>
      <c r="AC23" s="15">
        <f>AC21+AC22</f>
        <v/>
      </c>
      <c r="AD23" s="15">
        <f>AD21+AD22</f>
        <v/>
      </c>
      <c r="AE23" s="15">
        <f>AE21+AE22</f>
        <v/>
      </c>
      <c r="AF23" s="15">
        <f>AF21+AF22</f>
        <v/>
      </c>
      <c r="AG23" s="15">
        <f>AG21+AG22</f>
        <v/>
      </c>
      <c r="AH23" s="15">
        <f>AH21+AH22</f>
        <v/>
      </c>
      <c r="AI23" s="15">
        <f>AI21+AI22</f>
        <v/>
      </c>
      <c r="AJ23" s="15">
        <f>AJ21+AJ22</f>
        <v/>
      </c>
      <c r="AK23" s="15">
        <f>AK21+AK22</f>
        <v/>
      </c>
      <c r="AL23" s="15">
        <f>AL21+AL22</f>
        <v/>
      </c>
      <c r="AM23" s="15">
        <f>AM21+AM22</f>
        <v/>
      </c>
      <c r="AN23" s="15">
        <f>AN21+AN22</f>
        <v/>
      </c>
      <c r="AO23" s="24">
        <f>SUM(AC23:AN23)</f>
        <v/>
      </c>
      <c r="AP23" s="15">
        <f>AP21+AP22</f>
        <v/>
      </c>
      <c r="AQ23" s="15">
        <f>AQ21+AQ22</f>
        <v/>
      </c>
      <c r="AR23" s="15">
        <f>AR21+AR22</f>
        <v/>
      </c>
      <c r="AS23" s="15">
        <f>AS21+AS22</f>
        <v/>
      </c>
      <c r="AT23" s="15">
        <f>AT21+AT22</f>
        <v/>
      </c>
      <c r="AU23" s="15">
        <f>AU21+AU22</f>
        <v/>
      </c>
      <c r="AV23" s="15">
        <f>AV21+AV22</f>
        <v/>
      </c>
      <c r="AW23" s="15">
        <f>AW21+AW22</f>
        <v/>
      </c>
      <c r="AX23" s="15">
        <f>AX21+AX22</f>
        <v/>
      </c>
      <c r="AY23" s="15">
        <f>AY21+AY22</f>
        <v/>
      </c>
      <c r="AZ23" s="15">
        <f>AZ21+AZ22</f>
        <v/>
      </c>
      <c r="BA23" s="15">
        <f>BA21+BA22</f>
        <v/>
      </c>
      <c r="BB23" s="24">
        <f>SUM(AP23:BA23)</f>
        <v/>
      </c>
    </row>
    <row r="24"/>
    <row r="25">
      <c r="B25" s="39" t="inlineStr">
        <is>
          <t>Total de ingresos</t>
        </is>
      </c>
    </row>
    <row r="26">
      <c r="A26" s="16" t="inlineStr">
        <is>
          <t>TOTAL</t>
        </is>
      </c>
      <c r="B26" s="16" t="inlineStr">
        <is>
          <t>Ingresos del mes</t>
        </is>
      </c>
      <c r="C26" s="15">
        <f>C13+C18+C23</f>
        <v/>
      </c>
      <c r="D26" s="15">
        <f>D13+D18+D23</f>
        <v/>
      </c>
      <c r="E26" s="15">
        <f>E13+E18+E23</f>
        <v/>
      </c>
      <c r="F26" s="15">
        <f>F13+F18+F23</f>
        <v/>
      </c>
      <c r="G26" s="15">
        <f>G13+G18+G23</f>
        <v/>
      </c>
      <c r="H26" s="15">
        <f>H13+H18+H23</f>
        <v/>
      </c>
      <c r="I26" s="15">
        <f>I13+I18+I23</f>
        <v/>
      </c>
      <c r="J26" s="15">
        <f>J13+J18+J23</f>
        <v/>
      </c>
      <c r="K26" s="15">
        <f>K13+K18+K23</f>
        <v/>
      </c>
      <c r="L26" s="15">
        <f>L13+L18+L23</f>
        <v/>
      </c>
      <c r="M26" s="15">
        <f>M13+M18+M23</f>
        <v/>
      </c>
      <c r="N26" s="15">
        <f>N13+N18+N23</f>
        <v/>
      </c>
      <c r="O26" s="24">
        <f>SUM(C26:N26)</f>
        <v/>
      </c>
      <c r="P26" s="15">
        <f>P13+P18+P23</f>
        <v/>
      </c>
      <c r="Q26" s="15">
        <f>Q13+Q18+Q23</f>
        <v/>
      </c>
      <c r="R26" s="15">
        <f>R13+R18+R23</f>
        <v/>
      </c>
      <c r="S26" s="15">
        <f>S13+S18+S23</f>
        <v/>
      </c>
      <c r="T26" s="15">
        <f>T13+T18+T23</f>
        <v/>
      </c>
      <c r="U26" s="15">
        <f>U13+U18+U23</f>
        <v/>
      </c>
      <c r="V26" s="15">
        <f>V13+V18+V23</f>
        <v/>
      </c>
      <c r="W26" s="15">
        <f>W13+W18+W23</f>
        <v/>
      </c>
      <c r="X26" s="15">
        <f>X13+X18+X23</f>
        <v/>
      </c>
      <c r="Y26" s="15">
        <f>Y13+Y18+Y23</f>
        <v/>
      </c>
      <c r="Z26" s="15">
        <f>Z13+Z18+Z23</f>
        <v/>
      </c>
      <c r="AA26" s="15">
        <f>AA13+AA18+AA23</f>
        <v/>
      </c>
      <c r="AB26" s="24">
        <f>SUM(P26:AA26)</f>
        <v/>
      </c>
      <c r="AC26" s="15">
        <f>AC13+AC18+AC23</f>
        <v/>
      </c>
      <c r="AD26" s="15">
        <f>AD13+AD18+AD23</f>
        <v/>
      </c>
      <c r="AE26" s="15">
        <f>AE13+AE18+AE23</f>
        <v/>
      </c>
      <c r="AF26" s="15">
        <f>AF13+AF18+AF23</f>
        <v/>
      </c>
      <c r="AG26" s="15">
        <f>AG13+AG18+AG23</f>
        <v/>
      </c>
      <c r="AH26" s="15">
        <f>AH13+AH18+AH23</f>
        <v/>
      </c>
      <c r="AI26" s="15">
        <f>AI13+AI18+AI23</f>
        <v/>
      </c>
      <c r="AJ26" s="15">
        <f>AJ13+AJ18+AJ23</f>
        <v/>
      </c>
      <c r="AK26" s="15">
        <f>AK13+AK18+AK23</f>
        <v/>
      </c>
      <c r="AL26" s="15">
        <f>AL13+AL18+AL23</f>
        <v/>
      </c>
      <c r="AM26" s="15">
        <f>AM13+AM18+AM23</f>
        <v/>
      </c>
      <c r="AN26" s="15">
        <f>AN13+AN18+AN23</f>
        <v/>
      </c>
      <c r="AO26" s="24">
        <f>SUM(AC26:AN26)</f>
        <v/>
      </c>
      <c r="AP26" s="15">
        <f>AP13+AP18+AP23</f>
        <v/>
      </c>
      <c r="AQ26" s="15">
        <f>AQ13+AQ18+AQ23</f>
        <v/>
      </c>
      <c r="AR26" s="15">
        <f>AR13+AR18+AR23</f>
        <v/>
      </c>
      <c r="AS26" s="15">
        <f>AS13+AS18+AS23</f>
        <v/>
      </c>
      <c r="AT26" s="15">
        <f>AT13+AT18+AT23</f>
        <v/>
      </c>
      <c r="AU26" s="15">
        <f>AU13+AU18+AU23</f>
        <v/>
      </c>
      <c r="AV26" s="15">
        <f>AV13+AV18+AV23</f>
        <v/>
      </c>
      <c r="AW26" s="15">
        <f>AW13+AW18+AW23</f>
        <v/>
      </c>
      <c r="AX26" s="15">
        <f>AX13+AX18+AX23</f>
        <v/>
      </c>
      <c r="AY26" s="15">
        <f>AY13+AY18+AY23</f>
        <v/>
      </c>
      <c r="AZ26" s="15">
        <f>AZ13+AZ18+AZ23</f>
        <v/>
      </c>
      <c r="BA26" s="15">
        <f>BA13+BA18+BA23</f>
        <v/>
      </c>
      <c r="BB26" s="24">
        <f>SUM(AP26:BA26)</f>
        <v/>
      </c>
    </row>
    <row r="27">
      <c r="B27" s="11" t="inlineStr">
        <is>
          <t xml:space="preserve">    Ingreso promedio por cliente</t>
        </is>
      </c>
      <c r="C27" s="23">
        <f>IFERROR(C26/'Proyección de ventas'!C36,0)</f>
        <v/>
      </c>
      <c r="D27" s="23">
        <f>IFERROR(D26/'Proyección de ventas'!D36,0)</f>
        <v/>
      </c>
      <c r="E27" s="23">
        <f>IFERROR(E26/'Proyección de ventas'!E36,0)</f>
        <v/>
      </c>
      <c r="F27" s="23">
        <f>IFERROR(F26/'Proyección de ventas'!F36,0)</f>
        <v/>
      </c>
      <c r="G27" s="23">
        <f>IFERROR(G26/'Proyección de ventas'!G36,0)</f>
        <v/>
      </c>
      <c r="H27" s="23">
        <f>IFERROR(H26/'Proyección de ventas'!H36,0)</f>
        <v/>
      </c>
      <c r="I27" s="23">
        <f>IFERROR(I26/'Proyección de ventas'!I36,0)</f>
        <v/>
      </c>
      <c r="J27" s="23">
        <f>IFERROR(J26/'Proyección de ventas'!J36,0)</f>
        <v/>
      </c>
      <c r="K27" s="23">
        <f>IFERROR(K26/'Proyección de ventas'!K36,0)</f>
        <v/>
      </c>
      <c r="L27" s="23">
        <f>IFERROR(L26/'Proyección de ventas'!L36,0)</f>
        <v/>
      </c>
      <c r="M27" s="23">
        <f>IFERROR(M26/'Proyección de ventas'!M36,0)</f>
        <v/>
      </c>
      <c r="N27" s="23">
        <f>IFERROR(N26/'Proyección de ventas'!N36,0)</f>
        <v/>
      </c>
      <c r="P27" s="23">
        <f>IFERROR(P26/'Proyección de ventas'!P36,0)</f>
        <v/>
      </c>
      <c r="Q27" s="23">
        <f>IFERROR(Q26/'Proyección de ventas'!Q36,0)</f>
        <v/>
      </c>
      <c r="R27" s="23">
        <f>IFERROR(R26/'Proyección de ventas'!R36,0)</f>
        <v/>
      </c>
      <c r="S27" s="23">
        <f>IFERROR(S26/'Proyección de ventas'!S36,0)</f>
        <v/>
      </c>
      <c r="T27" s="23">
        <f>IFERROR(T26/'Proyección de ventas'!T36,0)</f>
        <v/>
      </c>
      <c r="U27" s="23">
        <f>IFERROR(U26/'Proyección de ventas'!U36,0)</f>
        <v/>
      </c>
      <c r="V27" s="23">
        <f>IFERROR(V26/'Proyección de ventas'!V36,0)</f>
        <v/>
      </c>
      <c r="W27" s="23">
        <f>IFERROR(W26/'Proyección de ventas'!W36,0)</f>
        <v/>
      </c>
      <c r="X27" s="23">
        <f>IFERROR(X26/'Proyección de ventas'!X36,0)</f>
        <v/>
      </c>
      <c r="Y27" s="23">
        <f>IFERROR(Y26/'Proyección de ventas'!Y36,0)</f>
        <v/>
      </c>
      <c r="Z27" s="23">
        <f>IFERROR(Z26/'Proyección de ventas'!Z36,0)</f>
        <v/>
      </c>
      <c r="AA27" s="23">
        <f>IFERROR(AA26/'Proyección de ventas'!AA36,0)</f>
        <v/>
      </c>
      <c r="AC27" s="23">
        <f>IFERROR(AC26/'Proyección de ventas'!AC36,0)</f>
        <v/>
      </c>
      <c r="AD27" s="23">
        <f>IFERROR(AD26/'Proyección de ventas'!AD36,0)</f>
        <v/>
      </c>
      <c r="AE27" s="23">
        <f>IFERROR(AE26/'Proyección de ventas'!AE36,0)</f>
        <v/>
      </c>
      <c r="AF27" s="23">
        <f>IFERROR(AF26/'Proyección de ventas'!AF36,0)</f>
        <v/>
      </c>
      <c r="AG27" s="23">
        <f>IFERROR(AG26/'Proyección de ventas'!AG36,0)</f>
        <v/>
      </c>
      <c r="AH27" s="23">
        <f>IFERROR(AH26/'Proyección de ventas'!AH36,0)</f>
        <v/>
      </c>
      <c r="AI27" s="23">
        <f>IFERROR(AI26/'Proyección de ventas'!AI36,0)</f>
        <v/>
      </c>
      <c r="AJ27" s="23">
        <f>IFERROR(AJ26/'Proyección de ventas'!AJ36,0)</f>
        <v/>
      </c>
      <c r="AK27" s="23">
        <f>IFERROR(AK26/'Proyección de ventas'!AK36,0)</f>
        <v/>
      </c>
      <c r="AL27" s="23">
        <f>IFERROR(AL26/'Proyección de ventas'!AL36,0)</f>
        <v/>
      </c>
      <c r="AM27" s="23">
        <f>IFERROR(AM26/'Proyección de ventas'!AM36,0)</f>
        <v/>
      </c>
      <c r="AN27" s="23">
        <f>IFERROR(AN26/'Proyección de ventas'!AN36,0)</f>
        <v/>
      </c>
      <c r="AP27" s="23">
        <f>IFERROR(AP26/'Proyección de ventas'!AP36,0)</f>
        <v/>
      </c>
      <c r="AQ27" s="23">
        <f>IFERROR(AQ26/'Proyección de ventas'!AQ36,0)</f>
        <v/>
      </c>
      <c r="AR27" s="23">
        <f>IFERROR(AR26/'Proyección de ventas'!AR36,0)</f>
        <v/>
      </c>
      <c r="AS27" s="23">
        <f>IFERROR(AS26/'Proyección de ventas'!AS36,0)</f>
        <v/>
      </c>
      <c r="AT27" s="23">
        <f>IFERROR(AT26/'Proyección de ventas'!AT36,0)</f>
        <v/>
      </c>
      <c r="AU27" s="23">
        <f>IFERROR(AU26/'Proyección de ventas'!AU36,0)</f>
        <v/>
      </c>
      <c r="AV27" s="23">
        <f>IFERROR(AV26/'Proyección de ventas'!AV36,0)</f>
        <v/>
      </c>
      <c r="AW27" s="23">
        <f>IFERROR(AW26/'Proyección de ventas'!AW36,0)</f>
        <v/>
      </c>
      <c r="AX27" s="23">
        <f>IFERROR(AX26/'Proyección de ventas'!AX36,0)</f>
        <v/>
      </c>
      <c r="AY27" s="23">
        <f>IFERROR(AY26/'Proyección de ventas'!AY36,0)</f>
        <v/>
      </c>
      <c r="AZ27" s="23">
        <f>IFERROR(AZ26/'Proyección de ventas'!AZ36,0)</f>
        <v/>
      </c>
      <c r="BA27" s="23">
        <f>IFERROR(BA26/'Proyección de ventas'!BA36,0)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4"/>
</worksheet>
</file>

<file path=xl/worksheets/sheet6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BB17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41" t="inlineStr">
        <is>
          <t>MODELO DE EGRESOS</t>
        </is>
      </c>
    </row>
    <row r="3">
      <c r="B3" s="3" t="inlineStr">
        <is>
          <t>Consolidado de las tres estructuras de costo. Cada una se carga en su propia hoja y acá sólo se suman.</t>
        </is>
      </c>
    </row>
    <row r="4"/>
    <row r="5"/>
    <row r="6"/>
    <row r="7">
      <c r="C7" s="39" t="n">
        <v>2027</v>
      </c>
      <c r="P7" s="39" t="n">
        <v>2028</v>
      </c>
      <c r="AC7" s="39" t="n">
        <v>2029</v>
      </c>
      <c r="AP7" s="39" t="n">
        <v>2030</v>
      </c>
    </row>
    <row r="8">
      <c r="C8" s="45" t="inlineStr">
        <is>
          <t>Ene</t>
        </is>
      </c>
      <c r="D8" s="45" t="inlineStr">
        <is>
          <t>Feb</t>
        </is>
      </c>
      <c r="E8" s="45" t="inlineStr">
        <is>
          <t>Mar</t>
        </is>
      </c>
      <c r="F8" s="45" t="inlineStr">
        <is>
          <t>Abr</t>
        </is>
      </c>
      <c r="G8" s="45" t="inlineStr">
        <is>
          <t>May</t>
        </is>
      </c>
      <c r="H8" s="45" t="inlineStr">
        <is>
          <t>Jun</t>
        </is>
      </c>
      <c r="I8" s="45" t="inlineStr">
        <is>
          <t>Jul</t>
        </is>
      </c>
      <c r="J8" s="45" t="inlineStr">
        <is>
          <t>Ago</t>
        </is>
      </c>
      <c r="K8" s="45" t="inlineStr">
        <is>
          <t>Sep</t>
        </is>
      </c>
      <c r="L8" s="45" t="inlineStr">
        <is>
          <t>Oct</t>
        </is>
      </c>
      <c r="M8" s="45" t="inlineStr">
        <is>
          <t>Nov</t>
        </is>
      </c>
      <c r="N8" s="45" t="inlineStr">
        <is>
          <t>Dic</t>
        </is>
      </c>
      <c r="O8" s="22" t="inlineStr">
        <is>
          <t>Total 2027</t>
        </is>
      </c>
      <c r="P8" s="45" t="inlineStr">
        <is>
          <t>Ene</t>
        </is>
      </c>
      <c r="Q8" s="45" t="inlineStr">
        <is>
          <t>Feb</t>
        </is>
      </c>
      <c r="R8" s="45" t="inlineStr">
        <is>
          <t>Mar</t>
        </is>
      </c>
      <c r="S8" s="45" t="inlineStr">
        <is>
          <t>Abr</t>
        </is>
      </c>
      <c r="T8" s="45" t="inlineStr">
        <is>
          <t>May</t>
        </is>
      </c>
      <c r="U8" s="45" t="inlineStr">
        <is>
          <t>Jun</t>
        </is>
      </c>
      <c r="V8" s="45" t="inlineStr">
        <is>
          <t>Jul</t>
        </is>
      </c>
      <c r="W8" s="45" t="inlineStr">
        <is>
          <t>Ago</t>
        </is>
      </c>
      <c r="X8" s="45" t="inlineStr">
        <is>
          <t>Sep</t>
        </is>
      </c>
      <c r="Y8" s="45" t="inlineStr">
        <is>
          <t>Oct</t>
        </is>
      </c>
      <c r="Z8" s="45" t="inlineStr">
        <is>
          <t>Nov</t>
        </is>
      </c>
      <c r="AA8" s="45" t="inlineStr">
        <is>
          <t>Dic</t>
        </is>
      </c>
      <c r="AB8" s="22" t="inlineStr">
        <is>
          <t>Total 2028</t>
        </is>
      </c>
      <c r="AC8" s="45" t="inlineStr">
        <is>
          <t>Ene</t>
        </is>
      </c>
      <c r="AD8" s="45" t="inlineStr">
        <is>
          <t>Feb</t>
        </is>
      </c>
      <c r="AE8" s="45" t="inlineStr">
        <is>
          <t>Mar</t>
        </is>
      </c>
      <c r="AF8" s="45" t="inlineStr">
        <is>
          <t>Abr</t>
        </is>
      </c>
      <c r="AG8" s="45" t="inlineStr">
        <is>
          <t>May</t>
        </is>
      </c>
      <c r="AH8" s="45" t="inlineStr">
        <is>
          <t>Jun</t>
        </is>
      </c>
      <c r="AI8" s="45" t="inlineStr">
        <is>
          <t>Jul</t>
        </is>
      </c>
      <c r="AJ8" s="45" t="inlineStr">
        <is>
          <t>Ago</t>
        </is>
      </c>
      <c r="AK8" s="45" t="inlineStr">
        <is>
          <t>Sep</t>
        </is>
      </c>
      <c r="AL8" s="45" t="inlineStr">
        <is>
          <t>Oct</t>
        </is>
      </c>
      <c r="AM8" s="45" t="inlineStr">
        <is>
          <t>Nov</t>
        </is>
      </c>
      <c r="AN8" s="45" t="inlineStr">
        <is>
          <t>Dic</t>
        </is>
      </c>
      <c r="AO8" s="22" t="inlineStr">
        <is>
          <t>Total 2029</t>
        </is>
      </c>
      <c r="AP8" s="45" t="inlineStr">
        <is>
          <t>Ene</t>
        </is>
      </c>
      <c r="AQ8" s="45" t="inlineStr">
        <is>
          <t>Feb</t>
        </is>
      </c>
      <c r="AR8" s="45" t="inlineStr">
        <is>
          <t>Mar</t>
        </is>
      </c>
      <c r="AS8" s="45" t="inlineStr">
        <is>
          <t>Abr</t>
        </is>
      </c>
      <c r="AT8" s="45" t="inlineStr">
        <is>
          <t>May</t>
        </is>
      </c>
      <c r="AU8" s="45" t="inlineStr">
        <is>
          <t>Jun</t>
        </is>
      </c>
      <c r="AV8" s="45" t="inlineStr">
        <is>
          <t>Jul</t>
        </is>
      </c>
      <c r="AW8" s="45" t="inlineStr">
        <is>
          <t>Ago</t>
        </is>
      </c>
      <c r="AX8" s="45" t="inlineStr">
        <is>
          <t>Sep</t>
        </is>
      </c>
      <c r="AY8" s="45" t="inlineStr">
        <is>
          <t>Oct</t>
        </is>
      </c>
      <c r="AZ8" s="45" t="inlineStr">
        <is>
          <t>Nov</t>
        </is>
      </c>
      <c r="BA8" s="45" t="inlineStr">
        <is>
          <t>Dic</t>
        </is>
      </c>
      <c r="BB8" s="22" t="inlineStr">
        <is>
          <t>Total 2030</t>
        </is>
      </c>
    </row>
    <row r="9"/>
    <row r="10">
      <c r="A10" s="16" t="inlineStr">
        <is>
          <t>EGRESOS</t>
        </is>
      </c>
      <c r="B10" s="11" t="inlineStr">
        <is>
          <t>Costos fijos</t>
        </is>
      </c>
      <c r="C10" s="23">
        <f>'Costos Fijos'!C27</f>
        <v/>
      </c>
      <c r="D10" s="23">
        <f>'Costos Fijos'!D27</f>
        <v/>
      </c>
      <c r="E10" s="23">
        <f>'Costos Fijos'!E27</f>
        <v/>
      </c>
      <c r="F10" s="23">
        <f>'Costos Fijos'!F27</f>
        <v/>
      </c>
      <c r="G10" s="23">
        <f>'Costos Fijos'!G27</f>
        <v/>
      </c>
      <c r="H10" s="23">
        <f>'Costos Fijos'!H27</f>
        <v/>
      </c>
      <c r="I10" s="23">
        <f>'Costos Fijos'!I27</f>
        <v/>
      </c>
      <c r="J10" s="23">
        <f>'Costos Fijos'!J27</f>
        <v/>
      </c>
      <c r="K10" s="23">
        <f>'Costos Fijos'!K27</f>
        <v/>
      </c>
      <c r="L10" s="23">
        <f>'Costos Fijos'!L27</f>
        <v/>
      </c>
      <c r="M10" s="23">
        <f>'Costos Fijos'!M27</f>
        <v/>
      </c>
      <c r="N10" s="23">
        <f>'Costos Fijos'!N27</f>
        <v/>
      </c>
      <c r="O10" s="24">
        <f>SUM(C10:N10)</f>
        <v/>
      </c>
      <c r="P10" s="23">
        <f>'Costos Fijos'!P27</f>
        <v/>
      </c>
      <c r="Q10" s="23">
        <f>'Costos Fijos'!Q27</f>
        <v/>
      </c>
      <c r="R10" s="23">
        <f>'Costos Fijos'!R27</f>
        <v/>
      </c>
      <c r="S10" s="23">
        <f>'Costos Fijos'!S27</f>
        <v/>
      </c>
      <c r="T10" s="23">
        <f>'Costos Fijos'!T27</f>
        <v/>
      </c>
      <c r="U10" s="23">
        <f>'Costos Fijos'!U27</f>
        <v/>
      </c>
      <c r="V10" s="23">
        <f>'Costos Fijos'!V27</f>
        <v/>
      </c>
      <c r="W10" s="23">
        <f>'Costos Fijos'!W27</f>
        <v/>
      </c>
      <c r="X10" s="23">
        <f>'Costos Fijos'!X27</f>
        <v/>
      </c>
      <c r="Y10" s="23">
        <f>'Costos Fijos'!Y27</f>
        <v/>
      </c>
      <c r="Z10" s="23">
        <f>'Costos Fijos'!Z27</f>
        <v/>
      </c>
      <c r="AA10" s="23">
        <f>'Costos Fijos'!AA27</f>
        <v/>
      </c>
      <c r="AB10" s="24">
        <f>SUM(P10:AA10)</f>
        <v/>
      </c>
      <c r="AC10" s="23">
        <f>'Costos Fijos'!AC27</f>
        <v/>
      </c>
      <c r="AD10" s="23">
        <f>'Costos Fijos'!AD27</f>
        <v/>
      </c>
      <c r="AE10" s="23">
        <f>'Costos Fijos'!AE27</f>
        <v/>
      </c>
      <c r="AF10" s="23">
        <f>'Costos Fijos'!AF27</f>
        <v/>
      </c>
      <c r="AG10" s="23">
        <f>'Costos Fijos'!AG27</f>
        <v/>
      </c>
      <c r="AH10" s="23">
        <f>'Costos Fijos'!AH27</f>
        <v/>
      </c>
      <c r="AI10" s="23">
        <f>'Costos Fijos'!AI27</f>
        <v/>
      </c>
      <c r="AJ10" s="23">
        <f>'Costos Fijos'!AJ27</f>
        <v/>
      </c>
      <c r="AK10" s="23">
        <f>'Costos Fijos'!AK27</f>
        <v/>
      </c>
      <c r="AL10" s="23">
        <f>'Costos Fijos'!AL27</f>
        <v/>
      </c>
      <c r="AM10" s="23">
        <f>'Costos Fijos'!AM27</f>
        <v/>
      </c>
      <c r="AN10" s="23">
        <f>'Costos Fijos'!AN27</f>
        <v/>
      </c>
      <c r="AO10" s="24">
        <f>SUM(AC10:AN10)</f>
        <v/>
      </c>
      <c r="AP10" s="23">
        <f>'Costos Fijos'!AP27</f>
        <v/>
      </c>
      <c r="AQ10" s="23">
        <f>'Costos Fijos'!AQ27</f>
        <v/>
      </c>
      <c r="AR10" s="23">
        <f>'Costos Fijos'!AR27</f>
        <v/>
      </c>
      <c r="AS10" s="23">
        <f>'Costos Fijos'!AS27</f>
        <v/>
      </c>
      <c r="AT10" s="23">
        <f>'Costos Fijos'!AT27</f>
        <v/>
      </c>
      <c r="AU10" s="23">
        <f>'Costos Fijos'!AU27</f>
        <v/>
      </c>
      <c r="AV10" s="23">
        <f>'Costos Fijos'!AV27</f>
        <v/>
      </c>
      <c r="AW10" s="23">
        <f>'Costos Fijos'!AW27</f>
        <v/>
      </c>
      <c r="AX10" s="23">
        <f>'Costos Fijos'!AX27</f>
        <v/>
      </c>
      <c r="AY10" s="23">
        <f>'Costos Fijos'!AY27</f>
        <v/>
      </c>
      <c r="AZ10" s="23">
        <f>'Costos Fijos'!AZ27</f>
        <v/>
      </c>
      <c r="BA10" s="23">
        <f>'Costos Fijos'!BA27</f>
        <v/>
      </c>
      <c r="BB10" s="24">
        <f>SUM(AP10:BA10)</f>
        <v/>
      </c>
    </row>
    <row r="11">
      <c r="B11" s="11" t="inlineStr">
        <is>
          <t>Costos variables</t>
        </is>
      </c>
      <c r="C11" s="23">
        <f>'Costos Variables'!C14</f>
        <v/>
      </c>
      <c r="D11" s="23">
        <f>'Costos Variables'!D14</f>
        <v/>
      </c>
      <c r="E11" s="23">
        <f>'Costos Variables'!E14</f>
        <v/>
      </c>
      <c r="F11" s="23">
        <f>'Costos Variables'!F14</f>
        <v/>
      </c>
      <c r="G11" s="23">
        <f>'Costos Variables'!G14</f>
        <v/>
      </c>
      <c r="H11" s="23">
        <f>'Costos Variables'!H14</f>
        <v/>
      </c>
      <c r="I11" s="23">
        <f>'Costos Variables'!I14</f>
        <v/>
      </c>
      <c r="J11" s="23">
        <f>'Costos Variables'!J14</f>
        <v/>
      </c>
      <c r="K11" s="23">
        <f>'Costos Variables'!K14</f>
        <v/>
      </c>
      <c r="L11" s="23">
        <f>'Costos Variables'!L14</f>
        <v/>
      </c>
      <c r="M11" s="23">
        <f>'Costos Variables'!M14</f>
        <v/>
      </c>
      <c r="N11" s="23">
        <f>'Costos Variables'!N14</f>
        <v/>
      </c>
      <c r="O11" s="24">
        <f>SUM(C11:N11)</f>
        <v/>
      </c>
      <c r="P11" s="23">
        <f>'Costos Variables'!P14</f>
        <v/>
      </c>
      <c r="Q11" s="23">
        <f>'Costos Variables'!Q14</f>
        <v/>
      </c>
      <c r="R11" s="23">
        <f>'Costos Variables'!R14</f>
        <v/>
      </c>
      <c r="S11" s="23">
        <f>'Costos Variables'!S14</f>
        <v/>
      </c>
      <c r="T11" s="23">
        <f>'Costos Variables'!T14</f>
        <v/>
      </c>
      <c r="U11" s="23">
        <f>'Costos Variables'!U14</f>
        <v/>
      </c>
      <c r="V11" s="23">
        <f>'Costos Variables'!V14</f>
        <v/>
      </c>
      <c r="W11" s="23">
        <f>'Costos Variables'!W14</f>
        <v/>
      </c>
      <c r="X11" s="23">
        <f>'Costos Variables'!X14</f>
        <v/>
      </c>
      <c r="Y11" s="23">
        <f>'Costos Variables'!Y14</f>
        <v/>
      </c>
      <c r="Z11" s="23">
        <f>'Costos Variables'!Z14</f>
        <v/>
      </c>
      <c r="AA11" s="23">
        <f>'Costos Variables'!AA14</f>
        <v/>
      </c>
      <c r="AB11" s="24">
        <f>SUM(P11:AA11)</f>
        <v/>
      </c>
      <c r="AC11" s="23">
        <f>'Costos Variables'!AC14</f>
        <v/>
      </c>
      <c r="AD11" s="23">
        <f>'Costos Variables'!AD14</f>
        <v/>
      </c>
      <c r="AE11" s="23">
        <f>'Costos Variables'!AE14</f>
        <v/>
      </c>
      <c r="AF11" s="23">
        <f>'Costos Variables'!AF14</f>
        <v/>
      </c>
      <c r="AG11" s="23">
        <f>'Costos Variables'!AG14</f>
        <v/>
      </c>
      <c r="AH11" s="23">
        <f>'Costos Variables'!AH14</f>
        <v/>
      </c>
      <c r="AI11" s="23">
        <f>'Costos Variables'!AI14</f>
        <v/>
      </c>
      <c r="AJ11" s="23">
        <f>'Costos Variables'!AJ14</f>
        <v/>
      </c>
      <c r="AK11" s="23">
        <f>'Costos Variables'!AK14</f>
        <v/>
      </c>
      <c r="AL11" s="23">
        <f>'Costos Variables'!AL14</f>
        <v/>
      </c>
      <c r="AM11" s="23">
        <f>'Costos Variables'!AM14</f>
        <v/>
      </c>
      <c r="AN11" s="23">
        <f>'Costos Variables'!AN14</f>
        <v/>
      </c>
      <c r="AO11" s="24">
        <f>SUM(AC11:AN11)</f>
        <v/>
      </c>
      <c r="AP11" s="23">
        <f>'Costos Variables'!AP14</f>
        <v/>
      </c>
      <c r="AQ11" s="23">
        <f>'Costos Variables'!AQ14</f>
        <v/>
      </c>
      <c r="AR11" s="23">
        <f>'Costos Variables'!AR14</f>
        <v/>
      </c>
      <c r="AS11" s="23">
        <f>'Costos Variables'!AS14</f>
        <v/>
      </c>
      <c r="AT11" s="23">
        <f>'Costos Variables'!AT14</f>
        <v/>
      </c>
      <c r="AU11" s="23">
        <f>'Costos Variables'!AU14</f>
        <v/>
      </c>
      <c r="AV11" s="23">
        <f>'Costos Variables'!AV14</f>
        <v/>
      </c>
      <c r="AW11" s="23">
        <f>'Costos Variables'!AW14</f>
        <v/>
      </c>
      <c r="AX11" s="23">
        <f>'Costos Variables'!AX14</f>
        <v/>
      </c>
      <c r="AY11" s="23">
        <f>'Costos Variables'!AY14</f>
        <v/>
      </c>
      <c r="AZ11" s="23">
        <f>'Costos Variables'!AZ14</f>
        <v/>
      </c>
      <c r="BA11" s="23">
        <f>'Costos Variables'!BA14</f>
        <v/>
      </c>
      <c r="BB11" s="24">
        <f>SUM(AP11:BA11)</f>
        <v/>
      </c>
    </row>
    <row r="12">
      <c r="B12" s="11" t="inlineStr">
        <is>
          <t>Costos de RRHH</t>
        </is>
      </c>
      <c r="C12" s="23">
        <f>'RRHH'!C39</f>
        <v/>
      </c>
      <c r="D12" s="23">
        <f>'RRHH'!D39</f>
        <v/>
      </c>
      <c r="E12" s="23">
        <f>'RRHH'!E39</f>
        <v/>
      </c>
      <c r="F12" s="23">
        <f>'RRHH'!F39</f>
        <v/>
      </c>
      <c r="G12" s="23">
        <f>'RRHH'!G39</f>
        <v/>
      </c>
      <c r="H12" s="23">
        <f>'RRHH'!H39</f>
        <v/>
      </c>
      <c r="I12" s="23">
        <f>'RRHH'!I39</f>
        <v/>
      </c>
      <c r="J12" s="23">
        <f>'RRHH'!J39</f>
        <v/>
      </c>
      <c r="K12" s="23">
        <f>'RRHH'!K39</f>
        <v/>
      </c>
      <c r="L12" s="23">
        <f>'RRHH'!L39</f>
        <v/>
      </c>
      <c r="M12" s="23">
        <f>'RRHH'!M39</f>
        <v/>
      </c>
      <c r="N12" s="23">
        <f>'RRHH'!N39</f>
        <v/>
      </c>
      <c r="O12" s="24">
        <f>SUM(C12:N12)</f>
        <v/>
      </c>
      <c r="P12" s="23">
        <f>'RRHH'!P39</f>
        <v/>
      </c>
      <c r="Q12" s="23">
        <f>'RRHH'!Q39</f>
        <v/>
      </c>
      <c r="R12" s="23">
        <f>'RRHH'!R39</f>
        <v/>
      </c>
      <c r="S12" s="23">
        <f>'RRHH'!S39</f>
        <v/>
      </c>
      <c r="T12" s="23">
        <f>'RRHH'!T39</f>
        <v/>
      </c>
      <c r="U12" s="23">
        <f>'RRHH'!U39</f>
        <v/>
      </c>
      <c r="V12" s="23">
        <f>'RRHH'!V39</f>
        <v/>
      </c>
      <c r="W12" s="23">
        <f>'RRHH'!W39</f>
        <v/>
      </c>
      <c r="X12" s="23">
        <f>'RRHH'!X39</f>
        <v/>
      </c>
      <c r="Y12" s="23">
        <f>'RRHH'!Y39</f>
        <v/>
      </c>
      <c r="Z12" s="23">
        <f>'RRHH'!Z39</f>
        <v/>
      </c>
      <c r="AA12" s="23">
        <f>'RRHH'!AA39</f>
        <v/>
      </c>
      <c r="AB12" s="24">
        <f>SUM(P12:AA12)</f>
        <v/>
      </c>
      <c r="AC12" s="23">
        <f>'RRHH'!AC39</f>
        <v/>
      </c>
      <c r="AD12" s="23">
        <f>'RRHH'!AD39</f>
        <v/>
      </c>
      <c r="AE12" s="23">
        <f>'RRHH'!AE39</f>
        <v/>
      </c>
      <c r="AF12" s="23">
        <f>'RRHH'!AF39</f>
        <v/>
      </c>
      <c r="AG12" s="23">
        <f>'RRHH'!AG39</f>
        <v/>
      </c>
      <c r="AH12" s="23">
        <f>'RRHH'!AH39</f>
        <v/>
      </c>
      <c r="AI12" s="23">
        <f>'RRHH'!AI39</f>
        <v/>
      </c>
      <c r="AJ12" s="23">
        <f>'RRHH'!AJ39</f>
        <v/>
      </c>
      <c r="AK12" s="23">
        <f>'RRHH'!AK39</f>
        <v/>
      </c>
      <c r="AL12" s="23">
        <f>'RRHH'!AL39</f>
        <v/>
      </c>
      <c r="AM12" s="23">
        <f>'RRHH'!AM39</f>
        <v/>
      </c>
      <c r="AN12" s="23">
        <f>'RRHH'!AN39</f>
        <v/>
      </c>
      <c r="AO12" s="24">
        <f>SUM(AC12:AN12)</f>
        <v/>
      </c>
      <c r="AP12" s="23">
        <f>'RRHH'!AP39</f>
        <v/>
      </c>
      <c r="AQ12" s="23">
        <f>'RRHH'!AQ39</f>
        <v/>
      </c>
      <c r="AR12" s="23">
        <f>'RRHH'!AR39</f>
        <v/>
      </c>
      <c r="AS12" s="23">
        <f>'RRHH'!AS39</f>
        <v/>
      </c>
      <c r="AT12" s="23">
        <f>'RRHH'!AT39</f>
        <v/>
      </c>
      <c r="AU12" s="23">
        <f>'RRHH'!AU39</f>
        <v/>
      </c>
      <c r="AV12" s="23">
        <f>'RRHH'!AV39</f>
        <v/>
      </c>
      <c r="AW12" s="23">
        <f>'RRHH'!AW39</f>
        <v/>
      </c>
      <c r="AX12" s="23">
        <f>'RRHH'!AX39</f>
        <v/>
      </c>
      <c r="AY12" s="23">
        <f>'RRHH'!AY39</f>
        <v/>
      </c>
      <c r="AZ12" s="23">
        <f>'RRHH'!AZ39</f>
        <v/>
      </c>
      <c r="BA12" s="23">
        <f>'RRHH'!BA39</f>
        <v/>
      </c>
      <c r="BB12" s="24">
        <f>SUM(AP12:BA12)</f>
        <v/>
      </c>
    </row>
    <row r="13">
      <c r="B13" s="16" t="inlineStr">
        <is>
          <t>Total de egresos</t>
        </is>
      </c>
      <c r="C13" s="15">
        <f>SUM(C10:C12)</f>
        <v/>
      </c>
      <c r="D13" s="15">
        <f>SUM(D10:D12)</f>
        <v/>
      </c>
      <c r="E13" s="15">
        <f>SUM(E10:E12)</f>
        <v/>
      </c>
      <c r="F13" s="15">
        <f>SUM(F10:F12)</f>
        <v/>
      </c>
      <c r="G13" s="15">
        <f>SUM(G10:G12)</f>
        <v/>
      </c>
      <c r="H13" s="15">
        <f>SUM(H10:H12)</f>
        <v/>
      </c>
      <c r="I13" s="15">
        <f>SUM(I10:I12)</f>
        <v/>
      </c>
      <c r="J13" s="15">
        <f>SUM(J10:J12)</f>
        <v/>
      </c>
      <c r="K13" s="15">
        <f>SUM(K10:K12)</f>
        <v/>
      </c>
      <c r="L13" s="15">
        <f>SUM(L10:L12)</f>
        <v/>
      </c>
      <c r="M13" s="15">
        <f>SUM(M10:M12)</f>
        <v/>
      </c>
      <c r="N13" s="15">
        <f>SUM(N10:N12)</f>
        <v/>
      </c>
      <c r="O13" s="24">
        <f>SUM(C13:N13)</f>
        <v/>
      </c>
      <c r="P13" s="15">
        <f>SUM(P10:P12)</f>
        <v/>
      </c>
      <c r="Q13" s="15">
        <f>SUM(Q10:Q12)</f>
        <v/>
      </c>
      <c r="R13" s="15">
        <f>SUM(R10:R12)</f>
        <v/>
      </c>
      <c r="S13" s="15">
        <f>SUM(S10:S12)</f>
        <v/>
      </c>
      <c r="T13" s="15">
        <f>SUM(T10:T12)</f>
        <v/>
      </c>
      <c r="U13" s="15">
        <f>SUM(U10:U12)</f>
        <v/>
      </c>
      <c r="V13" s="15">
        <f>SUM(V10:V12)</f>
        <v/>
      </c>
      <c r="W13" s="15">
        <f>SUM(W10:W12)</f>
        <v/>
      </c>
      <c r="X13" s="15">
        <f>SUM(X10:X12)</f>
        <v/>
      </c>
      <c r="Y13" s="15">
        <f>SUM(Y10:Y12)</f>
        <v/>
      </c>
      <c r="Z13" s="15">
        <f>SUM(Z10:Z12)</f>
        <v/>
      </c>
      <c r="AA13" s="15">
        <f>SUM(AA10:AA12)</f>
        <v/>
      </c>
      <c r="AB13" s="24">
        <f>SUM(P13:AA13)</f>
        <v/>
      </c>
      <c r="AC13" s="15">
        <f>SUM(AC10:AC12)</f>
        <v/>
      </c>
      <c r="AD13" s="15">
        <f>SUM(AD10:AD12)</f>
        <v/>
      </c>
      <c r="AE13" s="15">
        <f>SUM(AE10:AE12)</f>
        <v/>
      </c>
      <c r="AF13" s="15">
        <f>SUM(AF10:AF12)</f>
        <v/>
      </c>
      <c r="AG13" s="15">
        <f>SUM(AG10:AG12)</f>
        <v/>
      </c>
      <c r="AH13" s="15">
        <f>SUM(AH10:AH12)</f>
        <v/>
      </c>
      <c r="AI13" s="15">
        <f>SUM(AI10:AI12)</f>
        <v/>
      </c>
      <c r="AJ13" s="15">
        <f>SUM(AJ10:AJ12)</f>
        <v/>
      </c>
      <c r="AK13" s="15">
        <f>SUM(AK10:AK12)</f>
        <v/>
      </c>
      <c r="AL13" s="15">
        <f>SUM(AL10:AL12)</f>
        <v/>
      </c>
      <c r="AM13" s="15">
        <f>SUM(AM10:AM12)</f>
        <v/>
      </c>
      <c r="AN13" s="15">
        <f>SUM(AN10:AN12)</f>
        <v/>
      </c>
      <c r="AO13" s="24">
        <f>SUM(AC13:AN13)</f>
        <v/>
      </c>
      <c r="AP13" s="15">
        <f>SUM(AP10:AP12)</f>
        <v/>
      </c>
      <c r="AQ13" s="15">
        <f>SUM(AQ10:AQ12)</f>
        <v/>
      </c>
      <c r="AR13" s="15">
        <f>SUM(AR10:AR12)</f>
        <v/>
      </c>
      <c r="AS13" s="15">
        <f>SUM(AS10:AS12)</f>
        <v/>
      </c>
      <c r="AT13" s="15">
        <f>SUM(AT10:AT12)</f>
        <v/>
      </c>
      <c r="AU13" s="15">
        <f>SUM(AU10:AU12)</f>
        <v/>
      </c>
      <c r="AV13" s="15">
        <f>SUM(AV10:AV12)</f>
        <v/>
      </c>
      <c r="AW13" s="15">
        <f>SUM(AW10:AW12)</f>
        <v/>
      </c>
      <c r="AX13" s="15">
        <f>SUM(AX10:AX12)</f>
        <v/>
      </c>
      <c r="AY13" s="15">
        <f>SUM(AY10:AY12)</f>
        <v/>
      </c>
      <c r="AZ13" s="15">
        <f>SUM(AZ10:AZ12)</f>
        <v/>
      </c>
      <c r="BA13" s="15">
        <f>SUM(BA10:BA12)</f>
        <v/>
      </c>
      <c r="BB13" s="24">
        <f>SUM(AP13:BA13)</f>
        <v/>
      </c>
    </row>
    <row r="14"/>
    <row r="15">
      <c r="B15" s="39" t="inlineStr">
        <is>
          <t>Margen</t>
        </is>
      </c>
    </row>
    <row r="16">
      <c r="A16" s="16" t="inlineStr">
        <is>
          <t>MARGEN</t>
        </is>
      </c>
      <c r="B16" s="16" t="inlineStr">
        <is>
          <t>Resultado operativo (ingresos − egresos)</t>
        </is>
      </c>
      <c r="C16" s="15">
        <f>'Modelo de ingresos'!C26-C13</f>
        <v/>
      </c>
      <c r="D16" s="15">
        <f>'Modelo de ingresos'!D26-D13</f>
        <v/>
      </c>
      <c r="E16" s="15">
        <f>'Modelo de ingresos'!E26-E13</f>
        <v/>
      </c>
      <c r="F16" s="15">
        <f>'Modelo de ingresos'!F26-F13</f>
        <v/>
      </c>
      <c r="G16" s="15">
        <f>'Modelo de ingresos'!G26-G13</f>
        <v/>
      </c>
      <c r="H16" s="15">
        <f>'Modelo de ingresos'!H26-H13</f>
        <v/>
      </c>
      <c r="I16" s="15">
        <f>'Modelo de ingresos'!I26-I13</f>
        <v/>
      </c>
      <c r="J16" s="15">
        <f>'Modelo de ingresos'!J26-J13</f>
        <v/>
      </c>
      <c r="K16" s="15">
        <f>'Modelo de ingresos'!K26-K13</f>
        <v/>
      </c>
      <c r="L16" s="15">
        <f>'Modelo de ingresos'!L26-L13</f>
        <v/>
      </c>
      <c r="M16" s="15">
        <f>'Modelo de ingresos'!M26-M13</f>
        <v/>
      </c>
      <c r="N16" s="15">
        <f>'Modelo de ingresos'!N26-N13</f>
        <v/>
      </c>
      <c r="O16" s="24">
        <f>SUM(C16:N16)</f>
        <v/>
      </c>
      <c r="P16" s="15">
        <f>'Modelo de ingresos'!P26-P13</f>
        <v/>
      </c>
      <c r="Q16" s="15">
        <f>'Modelo de ingresos'!Q26-Q13</f>
        <v/>
      </c>
      <c r="R16" s="15">
        <f>'Modelo de ingresos'!R26-R13</f>
        <v/>
      </c>
      <c r="S16" s="15">
        <f>'Modelo de ingresos'!S26-S13</f>
        <v/>
      </c>
      <c r="T16" s="15">
        <f>'Modelo de ingresos'!T26-T13</f>
        <v/>
      </c>
      <c r="U16" s="15">
        <f>'Modelo de ingresos'!U26-U13</f>
        <v/>
      </c>
      <c r="V16" s="15">
        <f>'Modelo de ingresos'!V26-V13</f>
        <v/>
      </c>
      <c r="W16" s="15">
        <f>'Modelo de ingresos'!W26-W13</f>
        <v/>
      </c>
      <c r="X16" s="15">
        <f>'Modelo de ingresos'!X26-X13</f>
        <v/>
      </c>
      <c r="Y16" s="15">
        <f>'Modelo de ingresos'!Y26-Y13</f>
        <v/>
      </c>
      <c r="Z16" s="15">
        <f>'Modelo de ingresos'!Z26-Z13</f>
        <v/>
      </c>
      <c r="AA16" s="15">
        <f>'Modelo de ingresos'!AA26-AA13</f>
        <v/>
      </c>
      <c r="AB16" s="24">
        <f>SUM(P16:AA16)</f>
        <v/>
      </c>
      <c r="AC16" s="15">
        <f>'Modelo de ingresos'!AC26-AC13</f>
        <v/>
      </c>
      <c r="AD16" s="15">
        <f>'Modelo de ingresos'!AD26-AD13</f>
        <v/>
      </c>
      <c r="AE16" s="15">
        <f>'Modelo de ingresos'!AE26-AE13</f>
        <v/>
      </c>
      <c r="AF16" s="15">
        <f>'Modelo de ingresos'!AF26-AF13</f>
        <v/>
      </c>
      <c r="AG16" s="15">
        <f>'Modelo de ingresos'!AG26-AG13</f>
        <v/>
      </c>
      <c r="AH16" s="15">
        <f>'Modelo de ingresos'!AH26-AH13</f>
        <v/>
      </c>
      <c r="AI16" s="15">
        <f>'Modelo de ingresos'!AI26-AI13</f>
        <v/>
      </c>
      <c r="AJ16" s="15">
        <f>'Modelo de ingresos'!AJ26-AJ13</f>
        <v/>
      </c>
      <c r="AK16" s="15">
        <f>'Modelo de ingresos'!AK26-AK13</f>
        <v/>
      </c>
      <c r="AL16" s="15">
        <f>'Modelo de ingresos'!AL26-AL13</f>
        <v/>
      </c>
      <c r="AM16" s="15">
        <f>'Modelo de ingresos'!AM26-AM13</f>
        <v/>
      </c>
      <c r="AN16" s="15">
        <f>'Modelo de ingresos'!AN26-AN13</f>
        <v/>
      </c>
      <c r="AO16" s="24">
        <f>SUM(AC16:AN16)</f>
        <v/>
      </c>
      <c r="AP16" s="15">
        <f>'Modelo de ingresos'!AP26-AP13</f>
        <v/>
      </c>
      <c r="AQ16" s="15">
        <f>'Modelo de ingresos'!AQ26-AQ13</f>
        <v/>
      </c>
      <c r="AR16" s="15">
        <f>'Modelo de ingresos'!AR26-AR13</f>
        <v/>
      </c>
      <c r="AS16" s="15">
        <f>'Modelo de ingresos'!AS26-AS13</f>
        <v/>
      </c>
      <c r="AT16" s="15">
        <f>'Modelo de ingresos'!AT26-AT13</f>
        <v/>
      </c>
      <c r="AU16" s="15">
        <f>'Modelo de ingresos'!AU26-AU13</f>
        <v/>
      </c>
      <c r="AV16" s="15">
        <f>'Modelo de ingresos'!AV26-AV13</f>
        <v/>
      </c>
      <c r="AW16" s="15">
        <f>'Modelo de ingresos'!AW26-AW13</f>
        <v/>
      </c>
      <c r="AX16" s="15">
        <f>'Modelo de ingresos'!AX26-AX13</f>
        <v/>
      </c>
      <c r="AY16" s="15">
        <f>'Modelo de ingresos'!AY26-AY13</f>
        <v/>
      </c>
      <c r="AZ16" s="15">
        <f>'Modelo de ingresos'!AZ26-AZ13</f>
        <v/>
      </c>
      <c r="BA16" s="15">
        <f>'Modelo de ingresos'!BA26-BA13</f>
        <v/>
      </c>
      <c r="BB16" s="24">
        <f>SUM(AP16:BA16)</f>
        <v/>
      </c>
    </row>
    <row r="17">
      <c r="B17" s="11" t="inlineStr">
        <is>
          <t xml:space="preserve">    Margen sobre ingresos</t>
        </is>
      </c>
      <c r="C17" s="29">
        <f>IFERROR(C16/'Modelo de ingresos'!C26,0)</f>
        <v/>
      </c>
      <c r="D17" s="29">
        <f>IFERROR(D16/'Modelo de ingresos'!D26,0)</f>
        <v/>
      </c>
      <c r="E17" s="29">
        <f>IFERROR(E16/'Modelo de ingresos'!E26,0)</f>
        <v/>
      </c>
      <c r="F17" s="29">
        <f>IFERROR(F16/'Modelo de ingresos'!F26,0)</f>
        <v/>
      </c>
      <c r="G17" s="29">
        <f>IFERROR(G16/'Modelo de ingresos'!G26,0)</f>
        <v/>
      </c>
      <c r="H17" s="29">
        <f>IFERROR(H16/'Modelo de ingresos'!H26,0)</f>
        <v/>
      </c>
      <c r="I17" s="29">
        <f>IFERROR(I16/'Modelo de ingresos'!I26,0)</f>
        <v/>
      </c>
      <c r="J17" s="29">
        <f>IFERROR(J16/'Modelo de ingresos'!J26,0)</f>
        <v/>
      </c>
      <c r="K17" s="29">
        <f>IFERROR(K16/'Modelo de ingresos'!K26,0)</f>
        <v/>
      </c>
      <c r="L17" s="29">
        <f>IFERROR(L16/'Modelo de ingresos'!L26,0)</f>
        <v/>
      </c>
      <c r="M17" s="29">
        <f>IFERROR(M16/'Modelo de ingresos'!M26,0)</f>
        <v/>
      </c>
      <c r="N17" s="29">
        <f>IFERROR(N16/'Modelo de ingresos'!N26,0)</f>
        <v/>
      </c>
      <c r="P17" s="29">
        <f>IFERROR(P16/'Modelo de ingresos'!P26,0)</f>
        <v/>
      </c>
      <c r="Q17" s="29">
        <f>IFERROR(Q16/'Modelo de ingresos'!Q26,0)</f>
        <v/>
      </c>
      <c r="R17" s="29">
        <f>IFERROR(R16/'Modelo de ingresos'!R26,0)</f>
        <v/>
      </c>
      <c r="S17" s="29">
        <f>IFERROR(S16/'Modelo de ingresos'!S26,0)</f>
        <v/>
      </c>
      <c r="T17" s="29">
        <f>IFERROR(T16/'Modelo de ingresos'!T26,0)</f>
        <v/>
      </c>
      <c r="U17" s="29">
        <f>IFERROR(U16/'Modelo de ingresos'!U26,0)</f>
        <v/>
      </c>
      <c r="V17" s="29">
        <f>IFERROR(V16/'Modelo de ingresos'!V26,0)</f>
        <v/>
      </c>
      <c r="W17" s="29">
        <f>IFERROR(W16/'Modelo de ingresos'!W26,0)</f>
        <v/>
      </c>
      <c r="X17" s="29">
        <f>IFERROR(X16/'Modelo de ingresos'!X26,0)</f>
        <v/>
      </c>
      <c r="Y17" s="29">
        <f>IFERROR(Y16/'Modelo de ingresos'!Y26,0)</f>
        <v/>
      </c>
      <c r="Z17" s="29">
        <f>IFERROR(Z16/'Modelo de ingresos'!Z26,0)</f>
        <v/>
      </c>
      <c r="AA17" s="29">
        <f>IFERROR(AA16/'Modelo de ingresos'!AA26,0)</f>
        <v/>
      </c>
      <c r="AC17" s="29">
        <f>IFERROR(AC16/'Modelo de ingresos'!AC26,0)</f>
        <v/>
      </c>
      <c r="AD17" s="29">
        <f>IFERROR(AD16/'Modelo de ingresos'!AD26,0)</f>
        <v/>
      </c>
      <c r="AE17" s="29">
        <f>IFERROR(AE16/'Modelo de ingresos'!AE26,0)</f>
        <v/>
      </c>
      <c r="AF17" s="29">
        <f>IFERROR(AF16/'Modelo de ingresos'!AF26,0)</f>
        <v/>
      </c>
      <c r="AG17" s="29">
        <f>IFERROR(AG16/'Modelo de ingresos'!AG26,0)</f>
        <v/>
      </c>
      <c r="AH17" s="29">
        <f>IFERROR(AH16/'Modelo de ingresos'!AH26,0)</f>
        <v/>
      </c>
      <c r="AI17" s="29">
        <f>IFERROR(AI16/'Modelo de ingresos'!AI26,0)</f>
        <v/>
      </c>
      <c r="AJ17" s="29">
        <f>IFERROR(AJ16/'Modelo de ingresos'!AJ26,0)</f>
        <v/>
      </c>
      <c r="AK17" s="29">
        <f>IFERROR(AK16/'Modelo de ingresos'!AK26,0)</f>
        <v/>
      </c>
      <c r="AL17" s="29">
        <f>IFERROR(AL16/'Modelo de ingresos'!AL26,0)</f>
        <v/>
      </c>
      <c r="AM17" s="29">
        <f>IFERROR(AM16/'Modelo de ingresos'!AM26,0)</f>
        <v/>
      </c>
      <c r="AN17" s="29">
        <f>IFERROR(AN16/'Modelo de ingresos'!AN26,0)</f>
        <v/>
      </c>
      <c r="AP17" s="29">
        <f>IFERROR(AP16/'Modelo de ingresos'!AP26,0)</f>
        <v/>
      </c>
      <c r="AQ17" s="29">
        <f>IFERROR(AQ16/'Modelo de ingresos'!AQ26,0)</f>
        <v/>
      </c>
      <c r="AR17" s="29">
        <f>IFERROR(AR16/'Modelo de ingresos'!AR26,0)</f>
        <v/>
      </c>
      <c r="AS17" s="29">
        <f>IFERROR(AS16/'Modelo de ingresos'!AS26,0)</f>
        <v/>
      </c>
      <c r="AT17" s="29">
        <f>IFERROR(AT16/'Modelo de ingresos'!AT26,0)</f>
        <v/>
      </c>
      <c r="AU17" s="29">
        <f>IFERROR(AU16/'Modelo de ingresos'!AU26,0)</f>
        <v/>
      </c>
      <c r="AV17" s="29">
        <f>IFERROR(AV16/'Modelo de ingresos'!AV26,0)</f>
        <v/>
      </c>
      <c r="AW17" s="29">
        <f>IFERROR(AW16/'Modelo de ingresos'!AW26,0)</f>
        <v/>
      </c>
      <c r="AX17" s="29">
        <f>IFERROR(AX16/'Modelo de ingresos'!AX26,0)</f>
        <v/>
      </c>
      <c r="AY17" s="29">
        <f>IFERROR(AY16/'Modelo de ingresos'!AY26,0)</f>
        <v/>
      </c>
      <c r="AZ17" s="29">
        <f>IFERROR(AZ16/'Modelo de ingresos'!AZ26,0)</f>
        <v/>
      </c>
      <c r="BA17" s="29">
        <f>IFERROR(BA16/'Modelo de ingresos'!BA26,0)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4"/>
</worksheet>
</file>

<file path=xl/worksheets/sheet7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BB27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41" t="inlineStr">
        <is>
          <t>COSTOS FIJOS</t>
        </is>
      </c>
    </row>
    <row r="3">
      <c r="B3" s="3" t="inlineStr">
        <is>
          <t>No dependen del volumen de clientes. El importe mensual se carga por año y dentro del año se ajusta por el supuesto de inflación.</t>
        </is>
      </c>
    </row>
    <row r="4"/>
    <row r="5"/>
    <row r="6"/>
    <row r="7">
      <c r="C7" s="39" t="n">
        <v>2027</v>
      </c>
      <c r="P7" s="39" t="n">
        <v>2028</v>
      </c>
      <c r="AC7" s="39" t="n">
        <v>2029</v>
      </c>
      <c r="AP7" s="39" t="n">
        <v>2030</v>
      </c>
    </row>
    <row r="8">
      <c r="C8" s="45" t="inlineStr">
        <is>
          <t>Ene</t>
        </is>
      </c>
      <c r="D8" s="45" t="inlineStr">
        <is>
          <t>Feb</t>
        </is>
      </c>
      <c r="E8" s="45" t="inlineStr">
        <is>
          <t>Mar</t>
        </is>
      </c>
      <c r="F8" s="45" t="inlineStr">
        <is>
          <t>Abr</t>
        </is>
      </c>
      <c r="G8" s="45" t="inlineStr">
        <is>
          <t>May</t>
        </is>
      </c>
      <c r="H8" s="45" t="inlineStr">
        <is>
          <t>Jun</t>
        </is>
      </c>
      <c r="I8" s="45" t="inlineStr">
        <is>
          <t>Jul</t>
        </is>
      </c>
      <c r="J8" s="45" t="inlineStr">
        <is>
          <t>Ago</t>
        </is>
      </c>
      <c r="K8" s="45" t="inlineStr">
        <is>
          <t>Sep</t>
        </is>
      </c>
      <c r="L8" s="45" t="inlineStr">
        <is>
          <t>Oct</t>
        </is>
      </c>
      <c r="M8" s="45" t="inlineStr">
        <is>
          <t>Nov</t>
        </is>
      </c>
      <c r="N8" s="45" t="inlineStr">
        <is>
          <t>Dic</t>
        </is>
      </c>
      <c r="O8" s="22" t="inlineStr">
        <is>
          <t>Total 2027</t>
        </is>
      </c>
      <c r="P8" s="45" t="inlineStr">
        <is>
          <t>Ene</t>
        </is>
      </c>
      <c r="Q8" s="45" t="inlineStr">
        <is>
          <t>Feb</t>
        </is>
      </c>
      <c r="R8" s="45" t="inlineStr">
        <is>
          <t>Mar</t>
        </is>
      </c>
      <c r="S8" s="45" t="inlineStr">
        <is>
          <t>Abr</t>
        </is>
      </c>
      <c r="T8" s="45" t="inlineStr">
        <is>
          <t>May</t>
        </is>
      </c>
      <c r="U8" s="45" t="inlineStr">
        <is>
          <t>Jun</t>
        </is>
      </c>
      <c r="V8" s="45" t="inlineStr">
        <is>
          <t>Jul</t>
        </is>
      </c>
      <c r="W8" s="45" t="inlineStr">
        <is>
          <t>Ago</t>
        </is>
      </c>
      <c r="X8" s="45" t="inlineStr">
        <is>
          <t>Sep</t>
        </is>
      </c>
      <c r="Y8" s="45" t="inlineStr">
        <is>
          <t>Oct</t>
        </is>
      </c>
      <c r="Z8" s="45" t="inlineStr">
        <is>
          <t>Nov</t>
        </is>
      </c>
      <c r="AA8" s="45" t="inlineStr">
        <is>
          <t>Dic</t>
        </is>
      </c>
      <c r="AB8" s="22" t="inlineStr">
        <is>
          <t>Total 2028</t>
        </is>
      </c>
      <c r="AC8" s="45" t="inlineStr">
        <is>
          <t>Ene</t>
        </is>
      </c>
      <c r="AD8" s="45" t="inlineStr">
        <is>
          <t>Feb</t>
        </is>
      </c>
      <c r="AE8" s="45" t="inlineStr">
        <is>
          <t>Mar</t>
        </is>
      </c>
      <c r="AF8" s="45" t="inlineStr">
        <is>
          <t>Abr</t>
        </is>
      </c>
      <c r="AG8" s="45" t="inlineStr">
        <is>
          <t>May</t>
        </is>
      </c>
      <c r="AH8" s="45" t="inlineStr">
        <is>
          <t>Jun</t>
        </is>
      </c>
      <c r="AI8" s="45" t="inlineStr">
        <is>
          <t>Jul</t>
        </is>
      </c>
      <c r="AJ8" s="45" t="inlineStr">
        <is>
          <t>Ago</t>
        </is>
      </c>
      <c r="AK8" s="45" t="inlineStr">
        <is>
          <t>Sep</t>
        </is>
      </c>
      <c r="AL8" s="45" t="inlineStr">
        <is>
          <t>Oct</t>
        </is>
      </c>
      <c r="AM8" s="45" t="inlineStr">
        <is>
          <t>Nov</t>
        </is>
      </c>
      <c r="AN8" s="45" t="inlineStr">
        <is>
          <t>Dic</t>
        </is>
      </c>
      <c r="AO8" s="22" t="inlineStr">
        <is>
          <t>Total 2029</t>
        </is>
      </c>
      <c r="AP8" s="45" t="inlineStr">
        <is>
          <t>Ene</t>
        </is>
      </c>
      <c r="AQ8" s="45" t="inlineStr">
        <is>
          <t>Feb</t>
        </is>
      </c>
      <c r="AR8" s="45" t="inlineStr">
        <is>
          <t>Mar</t>
        </is>
      </c>
      <c r="AS8" s="45" t="inlineStr">
        <is>
          <t>Abr</t>
        </is>
      </c>
      <c r="AT8" s="45" t="inlineStr">
        <is>
          <t>May</t>
        </is>
      </c>
      <c r="AU8" s="45" t="inlineStr">
        <is>
          <t>Jun</t>
        </is>
      </c>
      <c r="AV8" s="45" t="inlineStr">
        <is>
          <t>Jul</t>
        </is>
      </c>
      <c r="AW8" s="45" t="inlineStr">
        <is>
          <t>Ago</t>
        </is>
      </c>
      <c r="AX8" s="45" t="inlineStr">
        <is>
          <t>Sep</t>
        </is>
      </c>
      <c r="AY8" s="45" t="inlineStr">
        <is>
          <t>Oct</t>
        </is>
      </c>
      <c r="AZ8" s="45" t="inlineStr">
        <is>
          <t>Nov</t>
        </is>
      </c>
      <c r="BA8" s="45" t="inlineStr">
        <is>
          <t>Dic</t>
        </is>
      </c>
      <c r="BB8" s="22" t="inlineStr">
        <is>
          <t>Total 2030</t>
        </is>
      </c>
    </row>
    <row r="9"/>
    <row r="10">
      <c r="B10" s="39" t="inlineStr">
        <is>
          <t>Importe mensual por año (celdas de entrada)</t>
        </is>
      </c>
    </row>
    <row r="11">
      <c r="C11" s="42" t="n">
        <v>2027</v>
      </c>
      <c r="D11" s="42" t="n">
        <v>2028</v>
      </c>
      <c r="E11" s="42" t="n">
        <v>2029</v>
      </c>
      <c r="F11" s="42" t="n">
        <v>2030</v>
      </c>
    </row>
    <row r="12">
      <c r="A12" s="16" t="inlineStr">
        <is>
          <t>Infraestructura</t>
        </is>
      </c>
      <c r="B12" s="11" t="inlineStr">
        <is>
          <t>Infraestructura en la nube (base)</t>
        </is>
      </c>
      <c r="C12" s="13" t="n">
        <v>120000</v>
      </c>
      <c r="D12" s="13" t="n">
        <v>200000</v>
      </c>
      <c r="E12" s="13" t="n">
        <v>320000</v>
      </c>
      <c r="F12" s="13" t="n">
        <v>430000</v>
      </c>
    </row>
    <row r="13">
      <c r="A13" s="16" t="inlineStr">
        <is>
          <t>Infraestructura</t>
        </is>
      </c>
      <c r="B13" s="11" t="inlineStr">
        <is>
          <t>Herramientas y licencias de desarrollo</t>
        </is>
      </c>
      <c r="C13" s="13" t="n">
        <v>40000</v>
      </c>
      <c r="D13" s="13" t="n">
        <v>60000</v>
      </c>
      <c r="E13" s="13" t="n">
        <v>90000</v>
      </c>
      <c r="F13" s="13" t="n">
        <v>120000</v>
      </c>
    </row>
    <row r="14">
      <c r="A14" s="16" t="inlineStr">
        <is>
          <t>Comercial</t>
        </is>
      </c>
      <c r="B14" s="11" t="inlineStr">
        <is>
          <t>Marketing y contenidos</t>
        </is>
      </c>
      <c r="C14" s="13" t="n">
        <v>175000</v>
      </c>
      <c r="D14" s="13" t="n">
        <v>260000</v>
      </c>
      <c r="E14" s="13" t="n">
        <v>340000</v>
      </c>
      <c r="F14" s="13" t="n">
        <v>420000</v>
      </c>
    </row>
    <row r="15">
      <c r="A15" s="16" t="inlineStr">
        <is>
          <t>Administración</t>
        </is>
      </c>
      <c r="B15" s="11" t="inlineStr">
        <is>
          <t>Estudio contable y legales</t>
        </is>
      </c>
      <c r="C15" s="13" t="n">
        <v>105000</v>
      </c>
      <c r="D15" s="13" t="n">
        <v>130000</v>
      </c>
      <c r="E15" s="13" t="n">
        <v>170000</v>
      </c>
      <c r="F15" s="13" t="n">
        <v>210000</v>
      </c>
    </row>
    <row r="16">
      <c r="A16" s="16" t="inlineStr">
        <is>
          <t>Operación</t>
        </is>
      </c>
      <c r="B16" s="11" t="inlineStr">
        <is>
          <t>Espacio de trabajo, internet y telefonía</t>
        </is>
      </c>
      <c r="C16" s="13" t="n">
        <v>60000</v>
      </c>
      <c r="D16" s="13" t="n">
        <v>90000</v>
      </c>
      <c r="E16" s="13" t="n">
        <v>140000</v>
      </c>
      <c r="F16" s="13" t="n">
        <v>190000</v>
      </c>
    </row>
    <row r="17">
      <c r="A17" s="16" t="inlineStr">
        <is>
          <t>Operación</t>
        </is>
      </c>
      <c r="B17" s="11" t="inlineStr">
        <is>
          <t>Otros gastos operativos</t>
        </is>
      </c>
      <c r="C17" s="13" t="n">
        <v>40000</v>
      </c>
      <c r="D17" s="13" t="n">
        <v>60000</v>
      </c>
      <c r="E17" s="13" t="n">
        <v>90000</v>
      </c>
      <c r="F17" s="13" t="n">
        <v>120000</v>
      </c>
    </row>
    <row r="18">
      <c r="B18" s="16" t="inlineStr">
        <is>
          <t>Total mensual</t>
        </is>
      </c>
      <c r="C18" s="15">
        <f>SUM(C12:C17)</f>
        <v/>
      </c>
      <c r="D18" s="15">
        <f>SUM(D12:D17)</f>
        <v/>
      </c>
      <c r="E18" s="15">
        <f>SUM(E12:E17)</f>
        <v/>
      </c>
      <c r="F18" s="15">
        <f>SUM(F12:F17)</f>
        <v/>
      </c>
    </row>
    <row r="19"/>
    <row r="20">
      <c r="B20" s="39" t="inlineStr">
        <is>
          <t>Desarrollo mensual</t>
        </is>
      </c>
    </row>
    <row r="21">
      <c r="A21" s="16" t="inlineStr">
        <is>
          <t>Infraestructura</t>
        </is>
      </c>
      <c r="B21" s="11" t="inlineStr">
        <is>
          <t>Infraestructura en la nube (base)</t>
        </is>
      </c>
      <c r="C21" s="23">
        <f>$C$12</f>
        <v/>
      </c>
      <c r="D21" s="23">
        <f>$C$12</f>
        <v/>
      </c>
      <c r="E21" s="23">
        <f>$C$12</f>
        <v/>
      </c>
      <c r="F21" s="23">
        <f>$C$12</f>
        <v/>
      </c>
      <c r="G21" s="23">
        <f>$C$12</f>
        <v/>
      </c>
      <c r="H21" s="23">
        <f>$C$12</f>
        <v/>
      </c>
      <c r="I21" s="23">
        <f>$C$12</f>
        <v/>
      </c>
      <c r="J21" s="23">
        <f>$C$12</f>
        <v/>
      </c>
      <c r="K21" s="23">
        <f>$C$12</f>
        <v/>
      </c>
      <c r="L21" s="23">
        <f>$C$12</f>
        <v/>
      </c>
      <c r="M21" s="23">
        <f>$C$12</f>
        <v/>
      </c>
      <c r="N21" s="23">
        <f>$C$12</f>
        <v/>
      </c>
      <c r="O21" s="24">
        <f>SUM(C21:N21)</f>
        <v/>
      </c>
      <c r="P21" s="23">
        <f>$D$12</f>
        <v/>
      </c>
      <c r="Q21" s="23">
        <f>$D$12</f>
        <v/>
      </c>
      <c r="R21" s="23">
        <f>$D$12</f>
        <v/>
      </c>
      <c r="S21" s="23">
        <f>$D$12</f>
        <v/>
      </c>
      <c r="T21" s="23">
        <f>$D$12</f>
        <v/>
      </c>
      <c r="U21" s="23">
        <f>$D$12</f>
        <v/>
      </c>
      <c r="V21" s="23">
        <f>$D$12</f>
        <v/>
      </c>
      <c r="W21" s="23">
        <f>$D$12</f>
        <v/>
      </c>
      <c r="X21" s="23">
        <f>$D$12</f>
        <v/>
      </c>
      <c r="Y21" s="23">
        <f>$D$12</f>
        <v/>
      </c>
      <c r="Z21" s="23">
        <f>$D$12</f>
        <v/>
      </c>
      <c r="AA21" s="23">
        <f>$D$12</f>
        <v/>
      </c>
      <c r="AB21" s="24">
        <f>SUM(P21:AA21)</f>
        <v/>
      </c>
      <c r="AC21" s="23">
        <f>$E$12</f>
        <v/>
      </c>
      <c r="AD21" s="23">
        <f>$E$12</f>
        <v/>
      </c>
      <c r="AE21" s="23">
        <f>$E$12</f>
        <v/>
      </c>
      <c r="AF21" s="23">
        <f>$E$12</f>
        <v/>
      </c>
      <c r="AG21" s="23">
        <f>$E$12</f>
        <v/>
      </c>
      <c r="AH21" s="23">
        <f>$E$12</f>
        <v/>
      </c>
      <c r="AI21" s="23">
        <f>$E$12</f>
        <v/>
      </c>
      <c r="AJ21" s="23">
        <f>$E$12</f>
        <v/>
      </c>
      <c r="AK21" s="23">
        <f>$E$12</f>
        <v/>
      </c>
      <c r="AL21" s="23">
        <f>$E$12</f>
        <v/>
      </c>
      <c r="AM21" s="23">
        <f>$E$12</f>
        <v/>
      </c>
      <c r="AN21" s="23">
        <f>$E$12</f>
        <v/>
      </c>
      <c r="AO21" s="24">
        <f>SUM(AC21:AN21)</f>
        <v/>
      </c>
      <c r="AP21" s="23">
        <f>$F$12</f>
        <v/>
      </c>
      <c r="AQ21" s="23">
        <f>$F$12</f>
        <v/>
      </c>
      <c r="AR21" s="23">
        <f>$F$12</f>
        <v/>
      </c>
      <c r="AS21" s="23">
        <f>$F$12</f>
        <v/>
      </c>
      <c r="AT21" s="23">
        <f>$F$12</f>
        <v/>
      </c>
      <c r="AU21" s="23">
        <f>$F$12</f>
        <v/>
      </c>
      <c r="AV21" s="23">
        <f>$F$12</f>
        <v/>
      </c>
      <c r="AW21" s="23">
        <f>$F$12</f>
        <v/>
      </c>
      <c r="AX21" s="23">
        <f>$F$12</f>
        <v/>
      </c>
      <c r="AY21" s="23">
        <f>$F$12</f>
        <v/>
      </c>
      <c r="AZ21" s="23">
        <f>$F$12</f>
        <v/>
      </c>
      <c r="BA21" s="23">
        <f>$F$12</f>
        <v/>
      </c>
      <c r="BB21" s="24">
        <f>SUM(AP21:BA21)</f>
        <v/>
      </c>
    </row>
    <row r="22">
      <c r="A22" s="16" t="inlineStr">
        <is>
          <t>Infraestructura</t>
        </is>
      </c>
      <c r="B22" s="11" t="inlineStr">
        <is>
          <t>Herramientas y licencias de desarrollo</t>
        </is>
      </c>
      <c r="C22" s="23">
        <f>$C$13</f>
        <v/>
      </c>
      <c r="D22" s="23">
        <f>$C$13</f>
        <v/>
      </c>
      <c r="E22" s="23">
        <f>$C$13</f>
        <v/>
      </c>
      <c r="F22" s="23">
        <f>$C$13</f>
        <v/>
      </c>
      <c r="G22" s="23">
        <f>$C$13</f>
        <v/>
      </c>
      <c r="H22" s="23">
        <f>$C$13</f>
        <v/>
      </c>
      <c r="I22" s="23">
        <f>$C$13</f>
        <v/>
      </c>
      <c r="J22" s="23">
        <f>$C$13</f>
        <v/>
      </c>
      <c r="K22" s="23">
        <f>$C$13</f>
        <v/>
      </c>
      <c r="L22" s="23">
        <f>$C$13</f>
        <v/>
      </c>
      <c r="M22" s="23">
        <f>$C$13</f>
        <v/>
      </c>
      <c r="N22" s="23">
        <f>$C$13</f>
        <v/>
      </c>
      <c r="O22" s="24">
        <f>SUM(C22:N22)</f>
        <v/>
      </c>
      <c r="P22" s="23">
        <f>$D$13</f>
        <v/>
      </c>
      <c r="Q22" s="23">
        <f>$D$13</f>
        <v/>
      </c>
      <c r="R22" s="23">
        <f>$D$13</f>
        <v/>
      </c>
      <c r="S22" s="23">
        <f>$D$13</f>
        <v/>
      </c>
      <c r="T22" s="23">
        <f>$D$13</f>
        <v/>
      </c>
      <c r="U22" s="23">
        <f>$D$13</f>
        <v/>
      </c>
      <c r="V22" s="23">
        <f>$D$13</f>
        <v/>
      </c>
      <c r="W22" s="23">
        <f>$D$13</f>
        <v/>
      </c>
      <c r="X22" s="23">
        <f>$D$13</f>
        <v/>
      </c>
      <c r="Y22" s="23">
        <f>$D$13</f>
        <v/>
      </c>
      <c r="Z22" s="23">
        <f>$D$13</f>
        <v/>
      </c>
      <c r="AA22" s="23">
        <f>$D$13</f>
        <v/>
      </c>
      <c r="AB22" s="24">
        <f>SUM(P22:AA22)</f>
        <v/>
      </c>
      <c r="AC22" s="23">
        <f>$E$13</f>
        <v/>
      </c>
      <c r="AD22" s="23">
        <f>$E$13</f>
        <v/>
      </c>
      <c r="AE22" s="23">
        <f>$E$13</f>
        <v/>
      </c>
      <c r="AF22" s="23">
        <f>$E$13</f>
        <v/>
      </c>
      <c r="AG22" s="23">
        <f>$E$13</f>
        <v/>
      </c>
      <c r="AH22" s="23">
        <f>$E$13</f>
        <v/>
      </c>
      <c r="AI22" s="23">
        <f>$E$13</f>
        <v/>
      </c>
      <c r="AJ22" s="23">
        <f>$E$13</f>
        <v/>
      </c>
      <c r="AK22" s="23">
        <f>$E$13</f>
        <v/>
      </c>
      <c r="AL22" s="23">
        <f>$E$13</f>
        <v/>
      </c>
      <c r="AM22" s="23">
        <f>$E$13</f>
        <v/>
      </c>
      <c r="AN22" s="23">
        <f>$E$13</f>
        <v/>
      </c>
      <c r="AO22" s="24">
        <f>SUM(AC22:AN22)</f>
        <v/>
      </c>
      <c r="AP22" s="23">
        <f>$F$13</f>
        <v/>
      </c>
      <c r="AQ22" s="23">
        <f>$F$13</f>
        <v/>
      </c>
      <c r="AR22" s="23">
        <f>$F$13</f>
        <v/>
      </c>
      <c r="AS22" s="23">
        <f>$F$13</f>
        <v/>
      </c>
      <c r="AT22" s="23">
        <f>$F$13</f>
        <v/>
      </c>
      <c r="AU22" s="23">
        <f>$F$13</f>
        <v/>
      </c>
      <c r="AV22" s="23">
        <f>$F$13</f>
        <v/>
      </c>
      <c r="AW22" s="23">
        <f>$F$13</f>
        <v/>
      </c>
      <c r="AX22" s="23">
        <f>$F$13</f>
        <v/>
      </c>
      <c r="AY22" s="23">
        <f>$F$13</f>
        <v/>
      </c>
      <c r="AZ22" s="23">
        <f>$F$13</f>
        <v/>
      </c>
      <c r="BA22" s="23">
        <f>$F$13</f>
        <v/>
      </c>
      <c r="BB22" s="24">
        <f>SUM(AP22:BA22)</f>
        <v/>
      </c>
    </row>
    <row r="23">
      <c r="A23" s="16" t="inlineStr">
        <is>
          <t>Comercial</t>
        </is>
      </c>
      <c r="B23" s="11" t="inlineStr">
        <is>
          <t>Marketing y contenidos</t>
        </is>
      </c>
      <c r="C23" s="23">
        <f>$C$14</f>
        <v/>
      </c>
      <c r="D23" s="23">
        <f>$C$14</f>
        <v/>
      </c>
      <c r="E23" s="23">
        <f>$C$14</f>
        <v/>
      </c>
      <c r="F23" s="23">
        <f>$C$14</f>
        <v/>
      </c>
      <c r="G23" s="23">
        <f>$C$14</f>
        <v/>
      </c>
      <c r="H23" s="23">
        <f>$C$14</f>
        <v/>
      </c>
      <c r="I23" s="23">
        <f>$C$14</f>
        <v/>
      </c>
      <c r="J23" s="23">
        <f>$C$14</f>
        <v/>
      </c>
      <c r="K23" s="23">
        <f>$C$14</f>
        <v/>
      </c>
      <c r="L23" s="23">
        <f>$C$14</f>
        <v/>
      </c>
      <c r="M23" s="23">
        <f>$C$14</f>
        <v/>
      </c>
      <c r="N23" s="23">
        <f>$C$14</f>
        <v/>
      </c>
      <c r="O23" s="24">
        <f>SUM(C23:N23)</f>
        <v/>
      </c>
      <c r="P23" s="23">
        <f>$D$14</f>
        <v/>
      </c>
      <c r="Q23" s="23">
        <f>$D$14</f>
        <v/>
      </c>
      <c r="R23" s="23">
        <f>$D$14</f>
        <v/>
      </c>
      <c r="S23" s="23">
        <f>$D$14</f>
        <v/>
      </c>
      <c r="T23" s="23">
        <f>$D$14</f>
        <v/>
      </c>
      <c r="U23" s="23">
        <f>$D$14</f>
        <v/>
      </c>
      <c r="V23" s="23">
        <f>$D$14</f>
        <v/>
      </c>
      <c r="W23" s="23">
        <f>$D$14</f>
        <v/>
      </c>
      <c r="X23" s="23">
        <f>$D$14</f>
        <v/>
      </c>
      <c r="Y23" s="23">
        <f>$D$14</f>
        <v/>
      </c>
      <c r="Z23" s="23">
        <f>$D$14</f>
        <v/>
      </c>
      <c r="AA23" s="23">
        <f>$D$14</f>
        <v/>
      </c>
      <c r="AB23" s="24">
        <f>SUM(P23:AA23)</f>
        <v/>
      </c>
      <c r="AC23" s="23">
        <f>$E$14</f>
        <v/>
      </c>
      <c r="AD23" s="23">
        <f>$E$14</f>
        <v/>
      </c>
      <c r="AE23" s="23">
        <f>$E$14</f>
        <v/>
      </c>
      <c r="AF23" s="23">
        <f>$E$14</f>
        <v/>
      </c>
      <c r="AG23" s="23">
        <f>$E$14</f>
        <v/>
      </c>
      <c r="AH23" s="23">
        <f>$E$14</f>
        <v/>
      </c>
      <c r="AI23" s="23">
        <f>$E$14</f>
        <v/>
      </c>
      <c r="AJ23" s="23">
        <f>$E$14</f>
        <v/>
      </c>
      <c r="AK23" s="23">
        <f>$E$14</f>
        <v/>
      </c>
      <c r="AL23" s="23">
        <f>$E$14</f>
        <v/>
      </c>
      <c r="AM23" s="23">
        <f>$E$14</f>
        <v/>
      </c>
      <c r="AN23" s="23">
        <f>$E$14</f>
        <v/>
      </c>
      <c r="AO23" s="24">
        <f>SUM(AC23:AN23)</f>
        <v/>
      </c>
      <c r="AP23" s="23">
        <f>$F$14</f>
        <v/>
      </c>
      <c r="AQ23" s="23">
        <f>$F$14</f>
        <v/>
      </c>
      <c r="AR23" s="23">
        <f>$F$14</f>
        <v/>
      </c>
      <c r="AS23" s="23">
        <f>$F$14</f>
        <v/>
      </c>
      <c r="AT23" s="23">
        <f>$F$14</f>
        <v/>
      </c>
      <c r="AU23" s="23">
        <f>$F$14</f>
        <v/>
      </c>
      <c r="AV23" s="23">
        <f>$F$14</f>
        <v/>
      </c>
      <c r="AW23" s="23">
        <f>$F$14</f>
        <v/>
      </c>
      <c r="AX23" s="23">
        <f>$F$14</f>
        <v/>
      </c>
      <c r="AY23" s="23">
        <f>$F$14</f>
        <v/>
      </c>
      <c r="AZ23" s="23">
        <f>$F$14</f>
        <v/>
      </c>
      <c r="BA23" s="23">
        <f>$F$14</f>
        <v/>
      </c>
      <c r="BB23" s="24">
        <f>SUM(AP23:BA23)</f>
        <v/>
      </c>
    </row>
    <row r="24">
      <c r="A24" s="16" t="inlineStr">
        <is>
          <t>Administración</t>
        </is>
      </c>
      <c r="B24" s="11" t="inlineStr">
        <is>
          <t>Estudio contable y legales</t>
        </is>
      </c>
      <c r="C24" s="23">
        <f>$C$15</f>
        <v/>
      </c>
      <c r="D24" s="23">
        <f>$C$15</f>
        <v/>
      </c>
      <c r="E24" s="23">
        <f>$C$15</f>
        <v/>
      </c>
      <c r="F24" s="23">
        <f>$C$15</f>
        <v/>
      </c>
      <c r="G24" s="23">
        <f>$C$15</f>
        <v/>
      </c>
      <c r="H24" s="23">
        <f>$C$15</f>
        <v/>
      </c>
      <c r="I24" s="23">
        <f>$C$15</f>
        <v/>
      </c>
      <c r="J24" s="23">
        <f>$C$15</f>
        <v/>
      </c>
      <c r="K24" s="23">
        <f>$C$15</f>
        <v/>
      </c>
      <c r="L24" s="23">
        <f>$C$15</f>
        <v/>
      </c>
      <c r="M24" s="23">
        <f>$C$15</f>
        <v/>
      </c>
      <c r="N24" s="23">
        <f>$C$15</f>
        <v/>
      </c>
      <c r="O24" s="24">
        <f>SUM(C24:N24)</f>
        <v/>
      </c>
      <c r="P24" s="23">
        <f>$D$15</f>
        <v/>
      </c>
      <c r="Q24" s="23">
        <f>$D$15</f>
        <v/>
      </c>
      <c r="R24" s="23">
        <f>$D$15</f>
        <v/>
      </c>
      <c r="S24" s="23">
        <f>$D$15</f>
        <v/>
      </c>
      <c r="T24" s="23">
        <f>$D$15</f>
        <v/>
      </c>
      <c r="U24" s="23">
        <f>$D$15</f>
        <v/>
      </c>
      <c r="V24" s="23">
        <f>$D$15</f>
        <v/>
      </c>
      <c r="W24" s="23">
        <f>$D$15</f>
        <v/>
      </c>
      <c r="X24" s="23">
        <f>$D$15</f>
        <v/>
      </c>
      <c r="Y24" s="23">
        <f>$D$15</f>
        <v/>
      </c>
      <c r="Z24" s="23">
        <f>$D$15</f>
        <v/>
      </c>
      <c r="AA24" s="23">
        <f>$D$15</f>
        <v/>
      </c>
      <c r="AB24" s="24">
        <f>SUM(P24:AA24)</f>
        <v/>
      </c>
      <c r="AC24" s="23">
        <f>$E$15</f>
        <v/>
      </c>
      <c r="AD24" s="23">
        <f>$E$15</f>
        <v/>
      </c>
      <c r="AE24" s="23">
        <f>$E$15</f>
        <v/>
      </c>
      <c r="AF24" s="23">
        <f>$E$15</f>
        <v/>
      </c>
      <c r="AG24" s="23">
        <f>$E$15</f>
        <v/>
      </c>
      <c r="AH24" s="23">
        <f>$E$15</f>
        <v/>
      </c>
      <c r="AI24" s="23">
        <f>$E$15</f>
        <v/>
      </c>
      <c r="AJ24" s="23">
        <f>$E$15</f>
        <v/>
      </c>
      <c r="AK24" s="23">
        <f>$E$15</f>
        <v/>
      </c>
      <c r="AL24" s="23">
        <f>$E$15</f>
        <v/>
      </c>
      <c r="AM24" s="23">
        <f>$E$15</f>
        <v/>
      </c>
      <c r="AN24" s="23">
        <f>$E$15</f>
        <v/>
      </c>
      <c r="AO24" s="24">
        <f>SUM(AC24:AN24)</f>
        <v/>
      </c>
      <c r="AP24" s="23">
        <f>$F$15</f>
        <v/>
      </c>
      <c r="AQ24" s="23">
        <f>$F$15</f>
        <v/>
      </c>
      <c r="AR24" s="23">
        <f>$F$15</f>
        <v/>
      </c>
      <c r="AS24" s="23">
        <f>$F$15</f>
        <v/>
      </c>
      <c r="AT24" s="23">
        <f>$F$15</f>
        <v/>
      </c>
      <c r="AU24" s="23">
        <f>$F$15</f>
        <v/>
      </c>
      <c r="AV24" s="23">
        <f>$F$15</f>
        <v/>
      </c>
      <c r="AW24" s="23">
        <f>$F$15</f>
        <v/>
      </c>
      <c r="AX24" s="23">
        <f>$F$15</f>
        <v/>
      </c>
      <c r="AY24" s="23">
        <f>$F$15</f>
        <v/>
      </c>
      <c r="AZ24" s="23">
        <f>$F$15</f>
        <v/>
      </c>
      <c r="BA24" s="23">
        <f>$F$15</f>
        <v/>
      </c>
      <c r="BB24" s="24">
        <f>SUM(AP24:BA24)</f>
        <v/>
      </c>
    </row>
    <row r="25">
      <c r="A25" s="16" t="inlineStr">
        <is>
          <t>Operación</t>
        </is>
      </c>
      <c r="B25" s="11" t="inlineStr">
        <is>
          <t>Espacio de trabajo, internet y telefonía</t>
        </is>
      </c>
      <c r="C25" s="23">
        <f>$C$16</f>
        <v/>
      </c>
      <c r="D25" s="23">
        <f>$C$16</f>
        <v/>
      </c>
      <c r="E25" s="23">
        <f>$C$16</f>
        <v/>
      </c>
      <c r="F25" s="23">
        <f>$C$16</f>
        <v/>
      </c>
      <c r="G25" s="23">
        <f>$C$16</f>
        <v/>
      </c>
      <c r="H25" s="23">
        <f>$C$16</f>
        <v/>
      </c>
      <c r="I25" s="23">
        <f>$C$16</f>
        <v/>
      </c>
      <c r="J25" s="23">
        <f>$C$16</f>
        <v/>
      </c>
      <c r="K25" s="23">
        <f>$C$16</f>
        <v/>
      </c>
      <c r="L25" s="23">
        <f>$C$16</f>
        <v/>
      </c>
      <c r="M25" s="23">
        <f>$C$16</f>
        <v/>
      </c>
      <c r="N25" s="23">
        <f>$C$16</f>
        <v/>
      </c>
      <c r="O25" s="24">
        <f>SUM(C25:N25)</f>
        <v/>
      </c>
      <c r="P25" s="23">
        <f>$D$16</f>
        <v/>
      </c>
      <c r="Q25" s="23">
        <f>$D$16</f>
        <v/>
      </c>
      <c r="R25" s="23">
        <f>$D$16</f>
        <v/>
      </c>
      <c r="S25" s="23">
        <f>$D$16</f>
        <v/>
      </c>
      <c r="T25" s="23">
        <f>$D$16</f>
        <v/>
      </c>
      <c r="U25" s="23">
        <f>$D$16</f>
        <v/>
      </c>
      <c r="V25" s="23">
        <f>$D$16</f>
        <v/>
      </c>
      <c r="W25" s="23">
        <f>$D$16</f>
        <v/>
      </c>
      <c r="X25" s="23">
        <f>$D$16</f>
        <v/>
      </c>
      <c r="Y25" s="23">
        <f>$D$16</f>
        <v/>
      </c>
      <c r="Z25" s="23">
        <f>$D$16</f>
        <v/>
      </c>
      <c r="AA25" s="23">
        <f>$D$16</f>
        <v/>
      </c>
      <c r="AB25" s="24">
        <f>SUM(P25:AA25)</f>
        <v/>
      </c>
      <c r="AC25" s="23">
        <f>$E$16</f>
        <v/>
      </c>
      <c r="AD25" s="23">
        <f>$E$16</f>
        <v/>
      </c>
      <c r="AE25" s="23">
        <f>$E$16</f>
        <v/>
      </c>
      <c r="AF25" s="23">
        <f>$E$16</f>
        <v/>
      </c>
      <c r="AG25" s="23">
        <f>$E$16</f>
        <v/>
      </c>
      <c r="AH25" s="23">
        <f>$E$16</f>
        <v/>
      </c>
      <c r="AI25" s="23">
        <f>$E$16</f>
        <v/>
      </c>
      <c r="AJ25" s="23">
        <f>$E$16</f>
        <v/>
      </c>
      <c r="AK25" s="23">
        <f>$E$16</f>
        <v/>
      </c>
      <c r="AL25" s="23">
        <f>$E$16</f>
        <v/>
      </c>
      <c r="AM25" s="23">
        <f>$E$16</f>
        <v/>
      </c>
      <c r="AN25" s="23">
        <f>$E$16</f>
        <v/>
      </c>
      <c r="AO25" s="24">
        <f>SUM(AC25:AN25)</f>
        <v/>
      </c>
      <c r="AP25" s="23">
        <f>$F$16</f>
        <v/>
      </c>
      <c r="AQ25" s="23">
        <f>$F$16</f>
        <v/>
      </c>
      <c r="AR25" s="23">
        <f>$F$16</f>
        <v/>
      </c>
      <c r="AS25" s="23">
        <f>$F$16</f>
        <v/>
      </c>
      <c r="AT25" s="23">
        <f>$F$16</f>
        <v/>
      </c>
      <c r="AU25" s="23">
        <f>$F$16</f>
        <v/>
      </c>
      <c r="AV25" s="23">
        <f>$F$16</f>
        <v/>
      </c>
      <c r="AW25" s="23">
        <f>$F$16</f>
        <v/>
      </c>
      <c r="AX25" s="23">
        <f>$F$16</f>
        <v/>
      </c>
      <c r="AY25" s="23">
        <f>$F$16</f>
        <v/>
      </c>
      <c r="AZ25" s="23">
        <f>$F$16</f>
        <v/>
      </c>
      <c r="BA25" s="23">
        <f>$F$16</f>
        <v/>
      </c>
      <c r="BB25" s="24">
        <f>SUM(AP25:BA25)</f>
        <v/>
      </c>
    </row>
    <row r="26">
      <c r="A26" s="16" t="inlineStr">
        <is>
          <t>Operación</t>
        </is>
      </c>
      <c r="B26" s="11" t="inlineStr">
        <is>
          <t>Otros gastos operativos</t>
        </is>
      </c>
      <c r="C26" s="23">
        <f>$C$17</f>
        <v/>
      </c>
      <c r="D26" s="23">
        <f>$C$17</f>
        <v/>
      </c>
      <c r="E26" s="23">
        <f>$C$17</f>
        <v/>
      </c>
      <c r="F26" s="23">
        <f>$C$17</f>
        <v/>
      </c>
      <c r="G26" s="23">
        <f>$C$17</f>
        <v/>
      </c>
      <c r="H26" s="23">
        <f>$C$17</f>
        <v/>
      </c>
      <c r="I26" s="23">
        <f>$C$17</f>
        <v/>
      </c>
      <c r="J26" s="23">
        <f>$C$17</f>
        <v/>
      </c>
      <c r="K26" s="23">
        <f>$C$17</f>
        <v/>
      </c>
      <c r="L26" s="23">
        <f>$C$17</f>
        <v/>
      </c>
      <c r="M26" s="23">
        <f>$C$17</f>
        <v/>
      </c>
      <c r="N26" s="23">
        <f>$C$17</f>
        <v/>
      </c>
      <c r="O26" s="24">
        <f>SUM(C26:N26)</f>
        <v/>
      </c>
      <c r="P26" s="23">
        <f>$D$17</f>
        <v/>
      </c>
      <c r="Q26" s="23">
        <f>$D$17</f>
        <v/>
      </c>
      <c r="R26" s="23">
        <f>$D$17</f>
        <v/>
      </c>
      <c r="S26" s="23">
        <f>$D$17</f>
        <v/>
      </c>
      <c r="T26" s="23">
        <f>$D$17</f>
        <v/>
      </c>
      <c r="U26" s="23">
        <f>$D$17</f>
        <v/>
      </c>
      <c r="V26" s="23">
        <f>$D$17</f>
        <v/>
      </c>
      <c r="W26" s="23">
        <f>$D$17</f>
        <v/>
      </c>
      <c r="X26" s="23">
        <f>$D$17</f>
        <v/>
      </c>
      <c r="Y26" s="23">
        <f>$D$17</f>
        <v/>
      </c>
      <c r="Z26" s="23">
        <f>$D$17</f>
        <v/>
      </c>
      <c r="AA26" s="23">
        <f>$D$17</f>
        <v/>
      </c>
      <c r="AB26" s="24">
        <f>SUM(P26:AA26)</f>
        <v/>
      </c>
      <c r="AC26" s="23">
        <f>$E$17</f>
        <v/>
      </c>
      <c r="AD26" s="23">
        <f>$E$17</f>
        <v/>
      </c>
      <c r="AE26" s="23">
        <f>$E$17</f>
        <v/>
      </c>
      <c r="AF26" s="23">
        <f>$E$17</f>
        <v/>
      </c>
      <c r="AG26" s="23">
        <f>$E$17</f>
        <v/>
      </c>
      <c r="AH26" s="23">
        <f>$E$17</f>
        <v/>
      </c>
      <c r="AI26" s="23">
        <f>$E$17</f>
        <v/>
      </c>
      <c r="AJ26" s="23">
        <f>$E$17</f>
        <v/>
      </c>
      <c r="AK26" s="23">
        <f>$E$17</f>
        <v/>
      </c>
      <c r="AL26" s="23">
        <f>$E$17</f>
        <v/>
      </c>
      <c r="AM26" s="23">
        <f>$E$17</f>
        <v/>
      </c>
      <c r="AN26" s="23">
        <f>$E$17</f>
        <v/>
      </c>
      <c r="AO26" s="24">
        <f>SUM(AC26:AN26)</f>
        <v/>
      </c>
      <c r="AP26" s="23">
        <f>$F$17</f>
        <v/>
      </c>
      <c r="AQ26" s="23">
        <f>$F$17</f>
        <v/>
      </c>
      <c r="AR26" s="23">
        <f>$F$17</f>
        <v/>
      </c>
      <c r="AS26" s="23">
        <f>$F$17</f>
        <v/>
      </c>
      <c r="AT26" s="23">
        <f>$F$17</f>
        <v/>
      </c>
      <c r="AU26" s="23">
        <f>$F$17</f>
        <v/>
      </c>
      <c r="AV26" s="23">
        <f>$F$17</f>
        <v/>
      </c>
      <c r="AW26" s="23">
        <f>$F$17</f>
        <v/>
      </c>
      <c r="AX26" s="23">
        <f>$F$17</f>
        <v/>
      </c>
      <c r="AY26" s="23">
        <f>$F$17</f>
        <v/>
      </c>
      <c r="AZ26" s="23">
        <f>$F$17</f>
        <v/>
      </c>
      <c r="BA26" s="23">
        <f>$F$17</f>
        <v/>
      </c>
      <c r="BB26" s="24">
        <f>SUM(AP26:BA26)</f>
        <v/>
      </c>
    </row>
    <row r="27">
      <c r="A27" s="16" t="inlineStr">
        <is>
          <t>COSTOS FIJOS</t>
        </is>
      </c>
      <c r="B27" s="16" t="inlineStr">
        <is>
          <t>Total de costos fijos</t>
        </is>
      </c>
      <c r="C27" s="15">
        <f>SUM(C21:C26)</f>
        <v/>
      </c>
      <c r="D27" s="15">
        <f>SUM(D21:D26)</f>
        <v/>
      </c>
      <c r="E27" s="15">
        <f>SUM(E21:E26)</f>
        <v/>
      </c>
      <c r="F27" s="15">
        <f>SUM(F21:F26)</f>
        <v/>
      </c>
      <c r="G27" s="15">
        <f>SUM(G21:G26)</f>
        <v/>
      </c>
      <c r="H27" s="15">
        <f>SUM(H21:H26)</f>
        <v/>
      </c>
      <c r="I27" s="15">
        <f>SUM(I21:I26)</f>
        <v/>
      </c>
      <c r="J27" s="15">
        <f>SUM(J21:J26)</f>
        <v/>
      </c>
      <c r="K27" s="15">
        <f>SUM(K21:K26)</f>
        <v/>
      </c>
      <c r="L27" s="15">
        <f>SUM(L21:L26)</f>
        <v/>
      </c>
      <c r="M27" s="15">
        <f>SUM(M21:M26)</f>
        <v/>
      </c>
      <c r="N27" s="15">
        <f>SUM(N21:N26)</f>
        <v/>
      </c>
      <c r="O27" s="24">
        <f>SUM(C27:N27)</f>
        <v/>
      </c>
      <c r="P27" s="15">
        <f>SUM(P21:P26)</f>
        <v/>
      </c>
      <c r="Q27" s="15">
        <f>SUM(Q21:Q26)</f>
        <v/>
      </c>
      <c r="R27" s="15">
        <f>SUM(R21:R26)</f>
        <v/>
      </c>
      <c r="S27" s="15">
        <f>SUM(S21:S26)</f>
        <v/>
      </c>
      <c r="T27" s="15">
        <f>SUM(T21:T26)</f>
        <v/>
      </c>
      <c r="U27" s="15">
        <f>SUM(U21:U26)</f>
        <v/>
      </c>
      <c r="V27" s="15">
        <f>SUM(V21:V26)</f>
        <v/>
      </c>
      <c r="W27" s="15">
        <f>SUM(W21:W26)</f>
        <v/>
      </c>
      <c r="X27" s="15">
        <f>SUM(X21:X26)</f>
        <v/>
      </c>
      <c r="Y27" s="15">
        <f>SUM(Y21:Y26)</f>
        <v/>
      </c>
      <c r="Z27" s="15">
        <f>SUM(Z21:Z26)</f>
        <v/>
      </c>
      <c r="AA27" s="15">
        <f>SUM(AA21:AA26)</f>
        <v/>
      </c>
      <c r="AB27" s="24">
        <f>SUM(P27:AA27)</f>
        <v/>
      </c>
      <c r="AC27" s="15">
        <f>SUM(AC21:AC26)</f>
        <v/>
      </c>
      <c r="AD27" s="15">
        <f>SUM(AD21:AD26)</f>
        <v/>
      </c>
      <c r="AE27" s="15">
        <f>SUM(AE21:AE26)</f>
        <v/>
      </c>
      <c r="AF27" s="15">
        <f>SUM(AF21:AF26)</f>
        <v/>
      </c>
      <c r="AG27" s="15">
        <f>SUM(AG21:AG26)</f>
        <v/>
      </c>
      <c r="AH27" s="15">
        <f>SUM(AH21:AH26)</f>
        <v/>
      </c>
      <c r="AI27" s="15">
        <f>SUM(AI21:AI26)</f>
        <v/>
      </c>
      <c r="AJ27" s="15">
        <f>SUM(AJ21:AJ26)</f>
        <v/>
      </c>
      <c r="AK27" s="15">
        <f>SUM(AK21:AK26)</f>
        <v/>
      </c>
      <c r="AL27" s="15">
        <f>SUM(AL21:AL26)</f>
        <v/>
      </c>
      <c r="AM27" s="15">
        <f>SUM(AM21:AM26)</f>
        <v/>
      </c>
      <c r="AN27" s="15">
        <f>SUM(AN21:AN26)</f>
        <v/>
      </c>
      <c r="AO27" s="24">
        <f>SUM(AC27:AN27)</f>
        <v/>
      </c>
      <c r="AP27" s="15">
        <f>SUM(AP21:AP26)</f>
        <v/>
      </c>
      <c r="AQ27" s="15">
        <f>SUM(AQ21:AQ26)</f>
        <v/>
      </c>
      <c r="AR27" s="15">
        <f>SUM(AR21:AR26)</f>
        <v/>
      </c>
      <c r="AS27" s="15">
        <f>SUM(AS21:AS26)</f>
        <v/>
      </c>
      <c r="AT27" s="15">
        <f>SUM(AT21:AT26)</f>
        <v/>
      </c>
      <c r="AU27" s="15">
        <f>SUM(AU21:AU26)</f>
        <v/>
      </c>
      <c r="AV27" s="15">
        <f>SUM(AV21:AV26)</f>
        <v/>
      </c>
      <c r="AW27" s="15">
        <f>SUM(AW21:AW26)</f>
        <v/>
      </c>
      <c r="AX27" s="15">
        <f>SUM(AX21:AX26)</f>
        <v/>
      </c>
      <c r="AY27" s="15">
        <f>SUM(AY21:AY26)</f>
        <v/>
      </c>
      <c r="AZ27" s="15">
        <f>SUM(AZ21:AZ26)</f>
        <v/>
      </c>
      <c r="BA27" s="15">
        <f>SUM(BA21:BA26)</f>
        <v/>
      </c>
      <c r="BB27" s="24">
        <f>SUM(AP27:BA27)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4"/>
</worksheet>
</file>

<file path=xl/worksheets/sheet8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BB16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41" t="inlineStr">
        <is>
          <t>COSTOS VARIABLES</t>
        </is>
      </c>
    </row>
    <row r="3">
      <c r="B3" s="3" t="inlineStr">
        <is>
          <t>Se mueven con cada cliente. Los importes unitarios salen de la sección 6.5.3 del documento y se toman de la hoja Planes, para que no haya dos versiones del mismo número.</t>
        </is>
      </c>
    </row>
    <row r="4"/>
    <row r="5"/>
    <row r="6"/>
    <row r="7">
      <c r="C7" s="39" t="n">
        <v>2027</v>
      </c>
      <c r="P7" s="39" t="n">
        <v>2028</v>
      </c>
      <c r="AC7" s="39" t="n">
        <v>2029</v>
      </c>
      <c r="AP7" s="39" t="n">
        <v>2030</v>
      </c>
    </row>
    <row r="8">
      <c r="C8" s="45" t="inlineStr">
        <is>
          <t>Ene</t>
        </is>
      </c>
      <c r="D8" s="45" t="inlineStr">
        <is>
          <t>Feb</t>
        </is>
      </c>
      <c r="E8" s="45" t="inlineStr">
        <is>
          <t>Mar</t>
        </is>
      </c>
      <c r="F8" s="45" t="inlineStr">
        <is>
          <t>Abr</t>
        </is>
      </c>
      <c r="G8" s="45" t="inlineStr">
        <is>
          <t>May</t>
        </is>
      </c>
      <c r="H8" s="45" t="inlineStr">
        <is>
          <t>Jun</t>
        </is>
      </c>
      <c r="I8" s="45" t="inlineStr">
        <is>
          <t>Jul</t>
        </is>
      </c>
      <c r="J8" s="45" t="inlineStr">
        <is>
          <t>Ago</t>
        </is>
      </c>
      <c r="K8" s="45" t="inlineStr">
        <is>
          <t>Sep</t>
        </is>
      </c>
      <c r="L8" s="45" t="inlineStr">
        <is>
          <t>Oct</t>
        </is>
      </c>
      <c r="M8" s="45" t="inlineStr">
        <is>
          <t>Nov</t>
        </is>
      </c>
      <c r="N8" s="45" t="inlineStr">
        <is>
          <t>Dic</t>
        </is>
      </c>
      <c r="O8" s="22" t="inlineStr">
        <is>
          <t>Total 2027</t>
        </is>
      </c>
      <c r="P8" s="45" t="inlineStr">
        <is>
          <t>Ene</t>
        </is>
      </c>
      <c r="Q8" s="45" t="inlineStr">
        <is>
          <t>Feb</t>
        </is>
      </c>
      <c r="R8" s="45" t="inlineStr">
        <is>
          <t>Mar</t>
        </is>
      </c>
      <c r="S8" s="45" t="inlineStr">
        <is>
          <t>Abr</t>
        </is>
      </c>
      <c r="T8" s="45" t="inlineStr">
        <is>
          <t>May</t>
        </is>
      </c>
      <c r="U8" s="45" t="inlineStr">
        <is>
          <t>Jun</t>
        </is>
      </c>
      <c r="V8" s="45" t="inlineStr">
        <is>
          <t>Jul</t>
        </is>
      </c>
      <c r="W8" s="45" t="inlineStr">
        <is>
          <t>Ago</t>
        </is>
      </c>
      <c r="X8" s="45" t="inlineStr">
        <is>
          <t>Sep</t>
        </is>
      </c>
      <c r="Y8" s="45" t="inlineStr">
        <is>
          <t>Oct</t>
        </is>
      </c>
      <c r="Z8" s="45" t="inlineStr">
        <is>
          <t>Nov</t>
        </is>
      </c>
      <c r="AA8" s="45" t="inlineStr">
        <is>
          <t>Dic</t>
        </is>
      </c>
      <c r="AB8" s="22" t="inlineStr">
        <is>
          <t>Total 2028</t>
        </is>
      </c>
      <c r="AC8" s="45" t="inlineStr">
        <is>
          <t>Ene</t>
        </is>
      </c>
      <c r="AD8" s="45" t="inlineStr">
        <is>
          <t>Feb</t>
        </is>
      </c>
      <c r="AE8" s="45" t="inlineStr">
        <is>
          <t>Mar</t>
        </is>
      </c>
      <c r="AF8" s="45" t="inlineStr">
        <is>
          <t>Abr</t>
        </is>
      </c>
      <c r="AG8" s="45" t="inlineStr">
        <is>
          <t>May</t>
        </is>
      </c>
      <c r="AH8" s="45" t="inlineStr">
        <is>
          <t>Jun</t>
        </is>
      </c>
      <c r="AI8" s="45" t="inlineStr">
        <is>
          <t>Jul</t>
        </is>
      </c>
      <c r="AJ8" s="45" t="inlineStr">
        <is>
          <t>Ago</t>
        </is>
      </c>
      <c r="AK8" s="45" t="inlineStr">
        <is>
          <t>Sep</t>
        </is>
      </c>
      <c r="AL8" s="45" t="inlineStr">
        <is>
          <t>Oct</t>
        </is>
      </c>
      <c r="AM8" s="45" t="inlineStr">
        <is>
          <t>Nov</t>
        </is>
      </c>
      <c r="AN8" s="45" t="inlineStr">
        <is>
          <t>Dic</t>
        </is>
      </c>
      <c r="AO8" s="22" t="inlineStr">
        <is>
          <t>Total 2029</t>
        </is>
      </c>
      <c r="AP8" s="45" t="inlineStr">
        <is>
          <t>Ene</t>
        </is>
      </c>
      <c r="AQ8" s="45" t="inlineStr">
        <is>
          <t>Feb</t>
        </is>
      </c>
      <c r="AR8" s="45" t="inlineStr">
        <is>
          <t>Mar</t>
        </is>
      </c>
      <c r="AS8" s="45" t="inlineStr">
        <is>
          <t>Abr</t>
        </is>
      </c>
      <c r="AT8" s="45" t="inlineStr">
        <is>
          <t>May</t>
        </is>
      </c>
      <c r="AU8" s="45" t="inlineStr">
        <is>
          <t>Jun</t>
        </is>
      </c>
      <c r="AV8" s="45" t="inlineStr">
        <is>
          <t>Jul</t>
        </is>
      </c>
      <c r="AW8" s="45" t="inlineStr">
        <is>
          <t>Ago</t>
        </is>
      </c>
      <c r="AX8" s="45" t="inlineStr">
        <is>
          <t>Sep</t>
        </is>
      </c>
      <c r="AY8" s="45" t="inlineStr">
        <is>
          <t>Oct</t>
        </is>
      </c>
      <c r="AZ8" s="45" t="inlineStr">
        <is>
          <t>Nov</t>
        </is>
      </c>
      <c r="BA8" s="45" t="inlineStr">
        <is>
          <t>Dic</t>
        </is>
      </c>
      <c r="BB8" s="22" t="inlineStr">
        <is>
          <t>Total 2030</t>
        </is>
      </c>
    </row>
    <row r="9"/>
    <row r="10">
      <c r="B10" s="39" t="inlineStr">
        <is>
          <t>Por concepto</t>
        </is>
      </c>
    </row>
    <row r="11">
      <c r="A11" s="16" t="inlineStr">
        <is>
          <t>VARIABLES</t>
        </is>
      </c>
      <c r="B11" s="11" t="inlineStr">
        <is>
          <t>Infraestructura por cliente</t>
        </is>
      </c>
      <c r="C11" s="23">
        <f>('Proyección de ventas'!C22*Planes!$G$7+'Proyección de ventas'!C29*Planes!$G$8+'Proyección de ventas'!C33*Planes!$G$9)*1</f>
        <v/>
      </c>
      <c r="D11" s="23">
        <f>('Proyección de ventas'!D22*Planes!$G$7+'Proyección de ventas'!D29*Planes!$G$8+'Proyección de ventas'!D33*Planes!$G$9)*1</f>
        <v/>
      </c>
      <c r="E11" s="23">
        <f>('Proyección de ventas'!E22*Planes!$G$7+'Proyección de ventas'!E29*Planes!$G$8+'Proyección de ventas'!E33*Planes!$G$9)*1</f>
        <v/>
      </c>
      <c r="F11" s="23">
        <f>('Proyección de ventas'!F22*Planes!$G$7+'Proyección de ventas'!F29*Planes!$G$8+'Proyección de ventas'!F33*Planes!$G$9)*1</f>
        <v/>
      </c>
      <c r="G11" s="23">
        <f>('Proyección de ventas'!G22*Planes!$G$7+'Proyección de ventas'!G29*Planes!$G$8+'Proyección de ventas'!G33*Planes!$G$9)*1</f>
        <v/>
      </c>
      <c r="H11" s="23">
        <f>('Proyección de ventas'!H22*Planes!$G$7+'Proyección de ventas'!H29*Planes!$G$8+'Proyección de ventas'!H33*Planes!$G$9)*1</f>
        <v/>
      </c>
      <c r="I11" s="23">
        <f>('Proyección de ventas'!I22*Planes!$G$7+'Proyección de ventas'!I29*Planes!$G$8+'Proyección de ventas'!I33*Planes!$G$9)*1</f>
        <v/>
      </c>
      <c r="J11" s="23">
        <f>('Proyección de ventas'!J22*Planes!$G$7+'Proyección de ventas'!J29*Planes!$G$8+'Proyección de ventas'!J33*Planes!$G$9)*1</f>
        <v/>
      </c>
      <c r="K11" s="23">
        <f>('Proyección de ventas'!K22*Planes!$G$7+'Proyección de ventas'!K29*Planes!$G$8+'Proyección de ventas'!K33*Planes!$G$9)*1</f>
        <v/>
      </c>
      <c r="L11" s="23">
        <f>('Proyección de ventas'!L22*Planes!$G$7+'Proyección de ventas'!L29*Planes!$G$8+'Proyección de ventas'!L33*Planes!$G$9)*1</f>
        <v/>
      </c>
      <c r="M11" s="23">
        <f>('Proyección de ventas'!M22*Planes!$G$7+'Proyección de ventas'!M29*Planes!$G$8+'Proyección de ventas'!M33*Planes!$G$9)*1</f>
        <v/>
      </c>
      <c r="N11" s="23">
        <f>('Proyección de ventas'!N22*Planes!$G$7+'Proyección de ventas'!N29*Planes!$G$8+'Proyección de ventas'!N33*Planes!$G$9)*1</f>
        <v/>
      </c>
      <c r="O11" s="24">
        <f>SUM(C11:N11)</f>
        <v/>
      </c>
      <c r="P11" s="23">
        <f>('Proyección de ventas'!P22*Planes!$G$7+'Proyección de ventas'!P29*Planes!$G$8+'Proyección de ventas'!P33*Planes!$G$9)*(1+Hipótesis!$D$8)</f>
        <v/>
      </c>
      <c r="Q11" s="23">
        <f>('Proyección de ventas'!Q22*Planes!$G$7+'Proyección de ventas'!Q29*Planes!$G$8+'Proyección de ventas'!Q33*Planes!$G$9)*(1+Hipótesis!$D$8)</f>
        <v/>
      </c>
      <c r="R11" s="23">
        <f>('Proyección de ventas'!R22*Planes!$G$7+'Proyección de ventas'!R29*Planes!$G$8+'Proyección de ventas'!R33*Planes!$G$9)*(1+Hipótesis!$D$8)</f>
        <v/>
      </c>
      <c r="S11" s="23">
        <f>('Proyección de ventas'!S22*Planes!$G$7+'Proyección de ventas'!S29*Planes!$G$8+'Proyección de ventas'!S33*Planes!$G$9)*(1+Hipótesis!$D$8)</f>
        <v/>
      </c>
      <c r="T11" s="23">
        <f>('Proyección de ventas'!T22*Planes!$G$7+'Proyección de ventas'!T29*Planes!$G$8+'Proyección de ventas'!T33*Planes!$G$9)*(1+Hipótesis!$D$8)</f>
        <v/>
      </c>
      <c r="U11" s="23">
        <f>('Proyección de ventas'!U22*Planes!$G$7+'Proyección de ventas'!U29*Planes!$G$8+'Proyección de ventas'!U33*Planes!$G$9)*(1+Hipótesis!$D$8)</f>
        <v/>
      </c>
      <c r="V11" s="23">
        <f>('Proyección de ventas'!V22*Planes!$G$7+'Proyección de ventas'!V29*Planes!$G$8+'Proyección de ventas'!V33*Planes!$G$9)*(1+Hipótesis!$D$8)</f>
        <v/>
      </c>
      <c r="W11" s="23">
        <f>('Proyección de ventas'!W22*Planes!$G$7+'Proyección de ventas'!W29*Planes!$G$8+'Proyección de ventas'!W33*Planes!$G$9)*(1+Hipótesis!$D$8)</f>
        <v/>
      </c>
      <c r="X11" s="23">
        <f>('Proyección de ventas'!X22*Planes!$G$7+'Proyección de ventas'!X29*Planes!$G$8+'Proyección de ventas'!X33*Planes!$G$9)*(1+Hipótesis!$D$8)</f>
        <v/>
      </c>
      <c r="Y11" s="23">
        <f>('Proyección de ventas'!Y22*Planes!$G$7+'Proyección de ventas'!Y29*Planes!$G$8+'Proyección de ventas'!Y33*Planes!$G$9)*(1+Hipótesis!$D$8)</f>
        <v/>
      </c>
      <c r="Z11" s="23">
        <f>('Proyección de ventas'!Z22*Planes!$G$7+'Proyección de ventas'!Z29*Planes!$G$8+'Proyección de ventas'!Z33*Planes!$G$9)*(1+Hipótesis!$D$8)</f>
        <v/>
      </c>
      <c r="AA11" s="23">
        <f>('Proyección de ventas'!AA22*Planes!$G$7+'Proyección de ventas'!AA29*Planes!$G$8+'Proyección de ventas'!AA33*Planes!$G$9)*(1+Hipótesis!$D$8)</f>
        <v/>
      </c>
      <c r="AB11" s="24">
        <f>SUM(P11:AA11)</f>
        <v/>
      </c>
      <c r="AC11" s="23">
        <f>('Proyección de ventas'!AC22*Planes!$G$7+'Proyección de ventas'!AC29*Planes!$G$8+'Proyección de ventas'!AC33*Planes!$G$9)*(1+Hipótesis!$D$8)*(1+Hipótesis!$E$8)</f>
        <v/>
      </c>
      <c r="AD11" s="23">
        <f>('Proyección de ventas'!AD22*Planes!$G$7+'Proyección de ventas'!AD29*Planes!$G$8+'Proyección de ventas'!AD33*Planes!$G$9)*(1+Hipótesis!$D$8)*(1+Hipótesis!$E$8)</f>
        <v/>
      </c>
      <c r="AE11" s="23">
        <f>('Proyección de ventas'!AE22*Planes!$G$7+'Proyección de ventas'!AE29*Planes!$G$8+'Proyección de ventas'!AE33*Planes!$G$9)*(1+Hipótesis!$D$8)*(1+Hipótesis!$E$8)</f>
        <v/>
      </c>
      <c r="AF11" s="23">
        <f>('Proyección de ventas'!AF22*Planes!$G$7+'Proyección de ventas'!AF29*Planes!$G$8+'Proyección de ventas'!AF33*Planes!$G$9)*(1+Hipótesis!$D$8)*(1+Hipótesis!$E$8)</f>
        <v/>
      </c>
      <c r="AG11" s="23">
        <f>('Proyección de ventas'!AG22*Planes!$G$7+'Proyección de ventas'!AG29*Planes!$G$8+'Proyección de ventas'!AG33*Planes!$G$9)*(1+Hipótesis!$D$8)*(1+Hipótesis!$E$8)</f>
        <v/>
      </c>
      <c r="AH11" s="23">
        <f>('Proyección de ventas'!AH22*Planes!$G$7+'Proyección de ventas'!AH29*Planes!$G$8+'Proyección de ventas'!AH33*Planes!$G$9)*(1+Hipótesis!$D$8)*(1+Hipótesis!$E$8)</f>
        <v/>
      </c>
      <c r="AI11" s="23">
        <f>('Proyección de ventas'!AI22*Planes!$G$7+'Proyección de ventas'!AI29*Planes!$G$8+'Proyección de ventas'!AI33*Planes!$G$9)*(1+Hipótesis!$D$8)*(1+Hipótesis!$E$8)</f>
        <v/>
      </c>
      <c r="AJ11" s="23">
        <f>('Proyección de ventas'!AJ22*Planes!$G$7+'Proyección de ventas'!AJ29*Planes!$G$8+'Proyección de ventas'!AJ33*Planes!$G$9)*(1+Hipótesis!$D$8)*(1+Hipótesis!$E$8)</f>
        <v/>
      </c>
      <c r="AK11" s="23">
        <f>('Proyección de ventas'!AK22*Planes!$G$7+'Proyección de ventas'!AK29*Planes!$G$8+'Proyección de ventas'!AK33*Planes!$G$9)*(1+Hipótesis!$D$8)*(1+Hipótesis!$E$8)</f>
        <v/>
      </c>
      <c r="AL11" s="23">
        <f>('Proyección de ventas'!AL22*Planes!$G$7+'Proyección de ventas'!AL29*Planes!$G$8+'Proyección de ventas'!AL33*Planes!$G$9)*(1+Hipótesis!$D$8)*(1+Hipótesis!$E$8)</f>
        <v/>
      </c>
      <c r="AM11" s="23">
        <f>('Proyección de ventas'!AM22*Planes!$G$7+'Proyección de ventas'!AM29*Planes!$G$8+'Proyección de ventas'!AM33*Planes!$G$9)*(1+Hipótesis!$D$8)*(1+Hipótesis!$E$8)</f>
        <v/>
      </c>
      <c r="AN11" s="23">
        <f>('Proyección de ventas'!AN22*Planes!$G$7+'Proyección de ventas'!AN29*Planes!$G$8+'Proyección de ventas'!AN33*Planes!$G$9)*(1+Hipótesis!$D$8)*(1+Hipótesis!$E$8)</f>
        <v/>
      </c>
      <c r="AO11" s="24">
        <f>SUM(AC11:AN11)</f>
        <v/>
      </c>
      <c r="AP11" s="23">
        <f>('Proyección de ventas'!AP22*Planes!$G$7+'Proyección de ventas'!AP29*Planes!$G$8+'Proyección de ventas'!AP33*Planes!$G$9)*(1+Hipótesis!$D$8)*(1+Hipótesis!$E$8)*(1+Hipótesis!$F$8)</f>
        <v/>
      </c>
      <c r="AQ11" s="23">
        <f>('Proyección de ventas'!AQ22*Planes!$G$7+'Proyección de ventas'!AQ29*Planes!$G$8+'Proyección de ventas'!AQ33*Planes!$G$9)*(1+Hipótesis!$D$8)*(1+Hipótesis!$E$8)*(1+Hipótesis!$F$8)</f>
        <v/>
      </c>
      <c r="AR11" s="23">
        <f>('Proyección de ventas'!AR22*Planes!$G$7+'Proyección de ventas'!AR29*Planes!$G$8+'Proyección de ventas'!AR33*Planes!$G$9)*(1+Hipótesis!$D$8)*(1+Hipótesis!$E$8)*(1+Hipótesis!$F$8)</f>
        <v/>
      </c>
      <c r="AS11" s="23">
        <f>('Proyección de ventas'!AS22*Planes!$G$7+'Proyección de ventas'!AS29*Planes!$G$8+'Proyección de ventas'!AS33*Planes!$G$9)*(1+Hipótesis!$D$8)*(1+Hipótesis!$E$8)*(1+Hipótesis!$F$8)</f>
        <v/>
      </c>
      <c r="AT11" s="23">
        <f>('Proyección de ventas'!AT22*Planes!$G$7+'Proyección de ventas'!AT29*Planes!$G$8+'Proyección de ventas'!AT33*Planes!$G$9)*(1+Hipótesis!$D$8)*(1+Hipótesis!$E$8)*(1+Hipótesis!$F$8)</f>
        <v/>
      </c>
      <c r="AU11" s="23">
        <f>('Proyección de ventas'!AU22*Planes!$G$7+'Proyección de ventas'!AU29*Planes!$G$8+'Proyección de ventas'!AU33*Planes!$G$9)*(1+Hipótesis!$D$8)*(1+Hipótesis!$E$8)*(1+Hipótesis!$F$8)</f>
        <v/>
      </c>
      <c r="AV11" s="23">
        <f>('Proyección de ventas'!AV22*Planes!$G$7+'Proyección de ventas'!AV29*Planes!$G$8+'Proyección de ventas'!AV33*Planes!$G$9)*(1+Hipótesis!$D$8)*(1+Hipótesis!$E$8)*(1+Hipótesis!$F$8)</f>
        <v/>
      </c>
      <c r="AW11" s="23">
        <f>('Proyección de ventas'!AW22*Planes!$G$7+'Proyección de ventas'!AW29*Planes!$G$8+'Proyección de ventas'!AW33*Planes!$G$9)*(1+Hipótesis!$D$8)*(1+Hipótesis!$E$8)*(1+Hipótesis!$F$8)</f>
        <v/>
      </c>
      <c r="AX11" s="23">
        <f>('Proyección de ventas'!AX22*Planes!$G$7+'Proyección de ventas'!AX29*Planes!$G$8+'Proyección de ventas'!AX33*Planes!$G$9)*(1+Hipótesis!$D$8)*(1+Hipótesis!$E$8)*(1+Hipótesis!$F$8)</f>
        <v/>
      </c>
      <c r="AY11" s="23">
        <f>('Proyección de ventas'!AY22*Planes!$G$7+'Proyección de ventas'!AY29*Planes!$G$8+'Proyección de ventas'!AY33*Planes!$G$9)*(1+Hipótesis!$D$8)*(1+Hipótesis!$E$8)*(1+Hipótesis!$F$8)</f>
        <v/>
      </c>
      <c r="AZ11" s="23">
        <f>('Proyección de ventas'!AZ22*Planes!$G$7+'Proyección de ventas'!AZ29*Planes!$G$8+'Proyección de ventas'!AZ33*Planes!$G$9)*(1+Hipótesis!$D$8)*(1+Hipótesis!$E$8)*(1+Hipótesis!$F$8)</f>
        <v/>
      </c>
      <c r="BA11" s="23">
        <f>('Proyección de ventas'!BA22*Planes!$G$7+'Proyección de ventas'!BA29*Planes!$G$8+'Proyección de ventas'!BA33*Planes!$G$9)*(1+Hipótesis!$D$8)*(1+Hipótesis!$E$8)*(1+Hipótesis!$F$8)</f>
        <v/>
      </c>
      <c r="BB11" s="24">
        <f>SUM(AP11:BA11)</f>
        <v/>
      </c>
    </row>
    <row r="12">
      <c r="B12" s="11" t="inlineStr">
        <is>
          <t>Soporte y onboarding por cliente</t>
        </is>
      </c>
      <c r="C12" s="23">
        <f>('Proyección de ventas'!C22*Planes!$H$7+'Proyección de ventas'!C29*Planes!$H$8+'Proyección de ventas'!C33*Planes!$H$9)*1</f>
        <v/>
      </c>
      <c r="D12" s="23">
        <f>('Proyección de ventas'!D22*Planes!$H$7+'Proyección de ventas'!D29*Planes!$H$8+'Proyección de ventas'!D33*Planes!$H$9)*1</f>
        <v/>
      </c>
      <c r="E12" s="23">
        <f>('Proyección de ventas'!E22*Planes!$H$7+'Proyección de ventas'!E29*Planes!$H$8+'Proyección de ventas'!E33*Planes!$H$9)*1</f>
        <v/>
      </c>
      <c r="F12" s="23">
        <f>('Proyección de ventas'!F22*Planes!$H$7+'Proyección de ventas'!F29*Planes!$H$8+'Proyección de ventas'!F33*Planes!$H$9)*1</f>
        <v/>
      </c>
      <c r="G12" s="23">
        <f>('Proyección de ventas'!G22*Planes!$H$7+'Proyección de ventas'!G29*Planes!$H$8+'Proyección de ventas'!G33*Planes!$H$9)*1</f>
        <v/>
      </c>
      <c r="H12" s="23">
        <f>('Proyección de ventas'!H22*Planes!$H$7+'Proyección de ventas'!H29*Planes!$H$8+'Proyección de ventas'!H33*Planes!$H$9)*1</f>
        <v/>
      </c>
      <c r="I12" s="23">
        <f>('Proyección de ventas'!I22*Planes!$H$7+'Proyección de ventas'!I29*Planes!$H$8+'Proyección de ventas'!I33*Planes!$H$9)*1</f>
        <v/>
      </c>
      <c r="J12" s="23">
        <f>('Proyección de ventas'!J22*Planes!$H$7+'Proyección de ventas'!J29*Planes!$H$8+'Proyección de ventas'!J33*Planes!$H$9)*1</f>
        <v/>
      </c>
      <c r="K12" s="23">
        <f>('Proyección de ventas'!K22*Planes!$H$7+'Proyección de ventas'!K29*Planes!$H$8+'Proyección de ventas'!K33*Planes!$H$9)*1</f>
        <v/>
      </c>
      <c r="L12" s="23">
        <f>('Proyección de ventas'!L22*Planes!$H$7+'Proyección de ventas'!L29*Planes!$H$8+'Proyección de ventas'!L33*Planes!$H$9)*1</f>
        <v/>
      </c>
      <c r="M12" s="23">
        <f>('Proyección de ventas'!M22*Planes!$H$7+'Proyección de ventas'!M29*Planes!$H$8+'Proyección de ventas'!M33*Planes!$H$9)*1</f>
        <v/>
      </c>
      <c r="N12" s="23">
        <f>('Proyección de ventas'!N22*Planes!$H$7+'Proyección de ventas'!N29*Planes!$H$8+'Proyección de ventas'!N33*Planes!$H$9)*1</f>
        <v/>
      </c>
      <c r="O12" s="24">
        <f>SUM(C12:N12)</f>
        <v/>
      </c>
      <c r="P12" s="23">
        <f>('Proyección de ventas'!P22*Planes!$H$7+'Proyección de ventas'!P29*Planes!$H$8+'Proyección de ventas'!P33*Planes!$H$9)*(1+Hipótesis!$D$8)</f>
        <v/>
      </c>
      <c r="Q12" s="23">
        <f>('Proyección de ventas'!Q22*Planes!$H$7+'Proyección de ventas'!Q29*Planes!$H$8+'Proyección de ventas'!Q33*Planes!$H$9)*(1+Hipótesis!$D$8)</f>
        <v/>
      </c>
      <c r="R12" s="23">
        <f>('Proyección de ventas'!R22*Planes!$H$7+'Proyección de ventas'!R29*Planes!$H$8+'Proyección de ventas'!R33*Planes!$H$9)*(1+Hipótesis!$D$8)</f>
        <v/>
      </c>
      <c r="S12" s="23">
        <f>('Proyección de ventas'!S22*Planes!$H$7+'Proyección de ventas'!S29*Planes!$H$8+'Proyección de ventas'!S33*Planes!$H$9)*(1+Hipótesis!$D$8)</f>
        <v/>
      </c>
      <c r="T12" s="23">
        <f>('Proyección de ventas'!T22*Planes!$H$7+'Proyección de ventas'!T29*Planes!$H$8+'Proyección de ventas'!T33*Planes!$H$9)*(1+Hipótesis!$D$8)</f>
        <v/>
      </c>
      <c r="U12" s="23">
        <f>('Proyección de ventas'!U22*Planes!$H$7+'Proyección de ventas'!U29*Planes!$H$8+'Proyección de ventas'!U33*Planes!$H$9)*(1+Hipótesis!$D$8)</f>
        <v/>
      </c>
      <c r="V12" s="23">
        <f>('Proyección de ventas'!V22*Planes!$H$7+'Proyección de ventas'!V29*Planes!$H$8+'Proyección de ventas'!V33*Planes!$H$9)*(1+Hipótesis!$D$8)</f>
        <v/>
      </c>
      <c r="W12" s="23">
        <f>('Proyección de ventas'!W22*Planes!$H$7+'Proyección de ventas'!W29*Planes!$H$8+'Proyección de ventas'!W33*Planes!$H$9)*(1+Hipótesis!$D$8)</f>
        <v/>
      </c>
      <c r="X12" s="23">
        <f>('Proyección de ventas'!X22*Planes!$H$7+'Proyección de ventas'!X29*Planes!$H$8+'Proyección de ventas'!X33*Planes!$H$9)*(1+Hipótesis!$D$8)</f>
        <v/>
      </c>
      <c r="Y12" s="23">
        <f>('Proyección de ventas'!Y22*Planes!$H$7+'Proyección de ventas'!Y29*Planes!$H$8+'Proyección de ventas'!Y33*Planes!$H$9)*(1+Hipótesis!$D$8)</f>
        <v/>
      </c>
      <c r="Z12" s="23">
        <f>('Proyección de ventas'!Z22*Planes!$H$7+'Proyección de ventas'!Z29*Planes!$H$8+'Proyección de ventas'!Z33*Planes!$H$9)*(1+Hipótesis!$D$8)</f>
        <v/>
      </c>
      <c r="AA12" s="23">
        <f>('Proyección de ventas'!AA22*Planes!$H$7+'Proyección de ventas'!AA29*Planes!$H$8+'Proyección de ventas'!AA33*Planes!$H$9)*(1+Hipótesis!$D$8)</f>
        <v/>
      </c>
      <c r="AB12" s="24">
        <f>SUM(P12:AA12)</f>
        <v/>
      </c>
      <c r="AC12" s="23">
        <f>('Proyección de ventas'!AC22*Planes!$H$7+'Proyección de ventas'!AC29*Planes!$H$8+'Proyección de ventas'!AC33*Planes!$H$9)*(1+Hipótesis!$D$8)*(1+Hipótesis!$E$8)</f>
        <v/>
      </c>
      <c r="AD12" s="23">
        <f>('Proyección de ventas'!AD22*Planes!$H$7+'Proyección de ventas'!AD29*Planes!$H$8+'Proyección de ventas'!AD33*Planes!$H$9)*(1+Hipótesis!$D$8)*(1+Hipótesis!$E$8)</f>
        <v/>
      </c>
      <c r="AE12" s="23">
        <f>('Proyección de ventas'!AE22*Planes!$H$7+'Proyección de ventas'!AE29*Planes!$H$8+'Proyección de ventas'!AE33*Planes!$H$9)*(1+Hipótesis!$D$8)*(1+Hipótesis!$E$8)</f>
        <v/>
      </c>
      <c r="AF12" s="23">
        <f>('Proyección de ventas'!AF22*Planes!$H$7+'Proyección de ventas'!AF29*Planes!$H$8+'Proyección de ventas'!AF33*Planes!$H$9)*(1+Hipótesis!$D$8)*(1+Hipótesis!$E$8)</f>
        <v/>
      </c>
      <c r="AG12" s="23">
        <f>('Proyección de ventas'!AG22*Planes!$H$7+'Proyección de ventas'!AG29*Planes!$H$8+'Proyección de ventas'!AG33*Planes!$H$9)*(1+Hipótesis!$D$8)*(1+Hipótesis!$E$8)</f>
        <v/>
      </c>
      <c r="AH12" s="23">
        <f>('Proyección de ventas'!AH22*Planes!$H$7+'Proyección de ventas'!AH29*Planes!$H$8+'Proyección de ventas'!AH33*Planes!$H$9)*(1+Hipótesis!$D$8)*(1+Hipótesis!$E$8)</f>
        <v/>
      </c>
      <c r="AI12" s="23">
        <f>('Proyección de ventas'!AI22*Planes!$H$7+'Proyección de ventas'!AI29*Planes!$H$8+'Proyección de ventas'!AI33*Planes!$H$9)*(1+Hipótesis!$D$8)*(1+Hipótesis!$E$8)</f>
        <v/>
      </c>
      <c r="AJ12" s="23">
        <f>('Proyección de ventas'!AJ22*Planes!$H$7+'Proyección de ventas'!AJ29*Planes!$H$8+'Proyección de ventas'!AJ33*Planes!$H$9)*(1+Hipótesis!$D$8)*(1+Hipótesis!$E$8)</f>
        <v/>
      </c>
      <c r="AK12" s="23">
        <f>('Proyección de ventas'!AK22*Planes!$H$7+'Proyección de ventas'!AK29*Planes!$H$8+'Proyección de ventas'!AK33*Planes!$H$9)*(1+Hipótesis!$D$8)*(1+Hipótesis!$E$8)</f>
        <v/>
      </c>
      <c r="AL12" s="23">
        <f>('Proyección de ventas'!AL22*Planes!$H$7+'Proyección de ventas'!AL29*Planes!$H$8+'Proyección de ventas'!AL33*Planes!$H$9)*(1+Hipótesis!$D$8)*(1+Hipótesis!$E$8)</f>
        <v/>
      </c>
      <c r="AM12" s="23">
        <f>('Proyección de ventas'!AM22*Planes!$H$7+'Proyección de ventas'!AM29*Planes!$H$8+'Proyección de ventas'!AM33*Planes!$H$9)*(1+Hipótesis!$D$8)*(1+Hipótesis!$E$8)</f>
        <v/>
      </c>
      <c r="AN12" s="23">
        <f>('Proyección de ventas'!AN22*Planes!$H$7+'Proyección de ventas'!AN29*Planes!$H$8+'Proyección de ventas'!AN33*Planes!$H$9)*(1+Hipótesis!$D$8)*(1+Hipótesis!$E$8)</f>
        <v/>
      </c>
      <c r="AO12" s="24">
        <f>SUM(AC12:AN12)</f>
        <v/>
      </c>
      <c r="AP12" s="23">
        <f>('Proyección de ventas'!AP22*Planes!$H$7+'Proyección de ventas'!AP29*Planes!$H$8+'Proyección de ventas'!AP33*Planes!$H$9)*(1+Hipótesis!$D$8)*(1+Hipótesis!$E$8)*(1+Hipótesis!$F$8)</f>
        <v/>
      </c>
      <c r="AQ12" s="23">
        <f>('Proyección de ventas'!AQ22*Planes!$H$7+'Proyección de ventas'!AQ29*Planes!$H$8+'Proyección de ventas'!AQ33*Planes!$H$9)*(1+Hipótesis!$D$8)*(1+Hipótesis!$E$8)*(1+Hipótesis!$F$8)</f>
        <v/>
      </c>
      <c r="AR12" s="23">
        <f>('Proyección de ventas'!AR22*Planes!$H$7+'Proyección de ventas'!AR29*Planes!$H$8+'Proyección de ventas'!AR33*Planes!$H$9)*(1+Hipótesis!$D$8)*(1+Hipótesis!$E$8)*(1+Hipótesis!$F$8)</f>
        <v/>
      </c>
      <c r="AS12" s="23">
        <f>('Proyección de ventas'!AS22*Planes!$H$7+'Proyección de ventas'!AS29*Planes!$H$8+'Proyección de ventas'!AS33*Planes!$H$9)*(1+Hipótesis!$D$8)*(1+Hipótesis!$E$8)*(1+Hipótesis!$F$8)</f>
        <v/>
      </c>
      <c r="AT12" s="23">
        <f>('Proyección de ventas'!AT22*Planes!$H$7+'Proyección de ventas'!AT29*Planes!$H$8+'Proyección de ventas'!AT33*Planes!$H$9)*(1+Hipótesis!$D$8)*(1+Hipótesis!$E$8)*(1+Hipótesis!$F$8)</f>
        <v/>
      </c>
      <c r="AU12" s="23">
        <f>('Proyección de ventas'!AU22*Planes!$H$7+'Proyección de ventas'!AU29*Planes!$H$8+'Proyección de ventas'!AU33*Planes!$H$9)*(1+Hipótesis!$D$8)*(1+Hipótesis!$E$8)*(1+Hipótesis!$F$8)</f>
        <v/>
      </c>
      <c r="AV12" s="23">
        <f>('Proyección de ventas'!AV22*Planes!$H$7+'Proyección de ventas'!AV29*Planes!$H$8+'Proyección de ventas'!AV33*Planes!$H$9)*(1+Hipótesis!$D$8)*(1+Hipótesis!$E$8)*(1+Hipótesis!$F$8)</f>
        <v/>
      </c>
      <c r="AW12" s="23">
        <f>('Proyección de ventas'!AW22*Planes!$H$7+'Proyección de ventas'!AW29*Planes!$H$8+'Proyección de ventas'!AW33*Planes!$H$9)*(1+Hipótesis!$D$8)*(1+Hipótesis!$E$8)*(1+Hipótesis!$F$8)</f>
        <v/>
      </c>
      <c r="AX12" s="23">
        <f>('Proyección de ventas'!AX22*Planes!$H$7+'Proyección de ventas'!AX29*Planes!$H$8+'Proyección de ventas'!AX33*Planes!$H$9)*(1+Hipótesis!$D$8)*(1+Hipótesis!$E$8)*(1+Hipótesis!$F$8)</f>
        <v/>
      </c>
      <c r="AY12" s="23">
        <f>('Proyección de ventas'!AY22*Planes!$H$7+'Proyección de ventas'!AY29*Planes!$H$8+'Proyección de ventas'!AY33*Planes!$H$9)*(1+Hipótesis!$D$8)*(1+Hipótesis!$E$8)*(1+Hipótesis!$F$8)</f>
        <v/>
      </c>
      <c r="AZ12" s="23">
        <f>('Proyección de ventas'!AZ22*Planes!$H$7+'Proyección de ventas'!AZ29*Planes!$H$8+'Proyección de ventas'!AZ33*Planes!$H$9)*(1+Hipótesis!$D$8)*(1+Hipótesis!$E$8)*(1+Hipótesis!$F$8)</f>
        <v/>
      </c>
      <c r="BA12" s="23">
        <f>('Proyección de ventas'!BA22*Planes!$H$7+'Proyección de ventas'!BA29*Planes!$H$8+'Proyección de ventas'!BA33*Planes!$H$9)*(1+Hipótesis!$D$8)*(1+Hipótesis!$E$8)*(1+Hipótesis!$F$8)</f>
        <v/>
      </c>
      <c r="BB12" s="24">
        <f>SUM(AP12:BA12)</f>
        <v/>
      </c>
    </row>
    <row r="13">
      <c r="B13" s="11" t="inlineStr">
        <is>
          <t>Servicio externo de inteligencia artificial</t>
        </is>
      </c>
      <c r="C13" s="23">
        <f>('Proyección de ventas'!C22*Planes!$I$7+'Proyección de ventas'!C29*Planes!$I$8+'Proyección de ventas'!C33*Planes!$I$9)*1</f>
        <v/>
      </c>
      <c r="D13" s="23">
        <f>('Proyección de ventas'!D22*Planes!$I$7+'Proyección de ventas'!D29*Planes!$I$8+'Proyección de ventas'!D33*Planes!$I$9)*1</f>
        <v/>
      </c>
      <c r="E13" s="23">
        <f>('Proyección de ventas'!E22*Planes!$I$7+'Proyección de ventas'!E29*Planes!$I$8+'Proyección de ventas'!E33*Planes!$I$9)*1</f>
        <v/>
      </c>
      <c r="F13" s="23">
        <f>('Proyección de ventas'!F22*Planes!$I$7+'Proyección de ventas'!F29*Planes!$I$8+'Proyección de ventas'!F33*Planes!$I$9)*1</f>
        <v/>
      </c>
      <c r="G13" s="23">
        <f>('Proyección de ventas'!G22*Planes!$I$7+'Proyección de ventas'!G29*Planes!$I$8+'Proyección de ventas'!G33*Planes!$I$9)*1</f>
        <v/>
      </c>
      <c r="H13" s="23">
        <f>('Proyección de ventas'!H22*Planes!$I$7+'Proyección de ventas'!H29*Planes!$I$8+'Proyección de ventas'!H33*Planes!$I$9)*1</f>
        <v/>
      </c>
      <c r="I13" s="23">
        <f>('Proyección de ventas'!I22*Planes!$I$7+'Proyección de ventas'!I29*Planes!$I$8+'Proyección de ventas'!I33*Planes!$I$9)*1</f>
        <v/>
      </c>
      <c r="J13" s="23">
        <f>('Proyección de ventas'!J22*Planes!$I$7+'Proyección de ventas'!J29*Planes!$I$8+'Proyección de ventas'!J33*Planes!$I$9)*1</f>
        <v/>
      </c>
      <c r="K13" s="23">
        <f>('Proyección de ventas'!K22*Planes!$I$7+'Proyección de ventas'!K29*Planes!$I$8+'Proyección de ventas'!K33*Planes!$I$9)*1</f>
        <v/>
      </c>
      <c r="L13" s="23">
        <f>('Proyección de ventas'!L22*Planes!$I$7+'Proyección de ventas'!L29*Planes!$I$8+'Proyección de ventas'!L33*Planes!$I$9)*1</f>
        <v/>
      </c>
      <c r="M13" s="23">
        <f>('Proyección de ventas'!M22*Planes!$I$7+'Proyección de ventas'!M29*Planes!$I$8+'Proyección de ventas'!M33*Planes!$I$9)*1</f>
        <v/>
      </c>
      <c r="N13" s="23">
        <f>('Proyección de ventas'!N22*Planes!$I$7+'Proyección de ventas'!N29*Planes!$I$8+'Proyección de ventas'!N33*Planes!$I$9)*1</f>
        <v/>
      </c>
      <c r="O13" s="24">
        <f>SUM(C13:N13)</f>
        <v/>
      </c>
      <c r="P13" s="23">
        <f>('Proyección de ventas'!P22*Planes!$I$7+'Proyección de ventas'!P29*Planes!$I$8+'Proyección de ventas'!P33*Planes!$I$9)*(1+Hipótesis!$D$8)</f>
        <v/>
      </c>
      <c r="Q13" s="23">
        <f>('Proyección de ventas'!Q22*Planes!$I$7+'Proyección de ventas'!Q29*Planes!$I$8+'Proyección de ventas'!Q33*Planes!$I$9)*(1+Hipótesis!$D$8)</f>
        <v/>
      </c>
      <c r="R13" s="23">
        <f>('Proyección de ventas'!R22*Planes!$I$7+'Proyección de ventas'!R29*Planes!$I$8+'Proyección de ventas'!R33*Planes!$I$9)*(1+Hipótesis!$D$8)</f>
        <v/>
      </c>
      <c r="S13" s="23">
        <f>('Proyección de ventas'!S22*Planes!$I$7+'Proyección de ventas'!S29*Planes!$I$8+'Proyección de ventas'!S33*Planes!$I$9)*(1+Hipótesis!$D$8)</f>
        <v/>
      </c>
      <c r="T13" s="23">
        <f>('Proyección de ventas'!T22*Planes!$I$7+'Proyección de ventas'!T29*Planes!$I$8+'Proyección de ventas'!T33*Planes!$I$9)*(1+Hipótesis!$D$8)</f>
        <v/>
      </c>
      <c r="U13" s="23">
        <f>('Proyección de ventas'!U22*Planes!$I$7+'Proyección de ventas'!U29*Planes!$I$8+'Proyección de ventas'!U33*Planes!$I$9)*(1+Hipótesis!$D$8)</f>
        <v/>
      </c>
      <c r="V13" s="23">
        <f>('Proyección de ventas'!V22*Planes!$I$7+'Proyección de ventas'!V29*Planes!$I$8+'Proyección de ventas'!V33*Planes!$I$9)*(1+Hipótesis!$D$8)</f>
        <v/>
      </c>
      <c r="W13" s="23">
        <f>('Proyección de ventas'!W22*Planes!$I$7+'Proyección de ventas'!W29*Planes!$I$8+'Proyección de ventas'!W33*Planes!$I$9)*(1+Hipótesis!$D$8)</f>
        <v/>
      </c>
      <c r="X13" s="23">
        <f>('Proyección de ventas'!X22*Planes!$I$7+'Proyección de ventas'!X29*Planes!$I$8+'Proyección de ventas'!X33*Planes!$I$9)*(1+Hipótesis!$D$8)</f>
        <v/>
      </c>
      <c r="Y13" s="23">
        <f>('Proyección de ventas'!Y22*Planes!$I$7+'Proyección de ventas'!Y29*Planes!$I$8+'Proyección de ventas'!Y33*Planes!$I$9)*(1+Hipótesis!$D$8)</f>
        <v/>
      </c>
      <c r="Z13" s="23">
        <f>('Proyección de ventas'!Z22*Planes!$I$7+'Proyección de ventas'!Z29*Planes!$I$8+'Proyección de ventas'!Z33*Planes!$I$9)*(1+Hipótesis!$D$8)</f>
        <v/>
      </c>
      <c r="AA13" s="23">
        <f>('Proyección de ventas'!AA22*Planes!$I$7+'Proyección de ventas'!AA29*Planes!$I$8+'Proyección de ventas'!AA33*Planes!$I$9)*(1+Hipótesis!$D$8)</f>
        <v/>
      </c>
      <c r="AB13" s="24">
        <f>SUM(P13:AA13)</f>
        <v/>
      </c>
      <c r="AC13" s="23">
        <f>('Proyección de ventas'!AC22*Planes!$I$7+'Proyección de ventas'!AC29*Planes!$I$8+'Proyección de ventas'!AC33*Planes!$I$9)*(1+Hipótesis!$D$8)*(1+Hipótesis!$E$8)</f>
        <v/>
      </c>
      <c r="AD13" s="23">
        <f>('Proyección de ventas'!AD22*Planes!$I$7+'Proyección de ventas'!AD29*Planes!$I$8+'Proyección de ventas'!AD33*Planes!$I$9)*(1+Hipótesis!$D$8)*(1+Hipótesis!$E$8)</f>
        <v/>
      </c>
      <c r="AE13" s="23">
        <f>('Proyección de ventas'!AE22*Planes!$I$7+'Proyección de ventas'!AE29*Planes!$I$8+'Proyección de ventas'!AE33*Planes!$I$9)*(1+Hipótesis!$D$8)*(1+Hipótesis!$E$8)</f>
        <v/>
      </c>
      <c r="AF13" s="23">
        <f>('Proyección de ventas'!AF22*Planes!$I$7+'Proyección de ventas'!AF29*Planes!$I$8+'Proyección de ventas'!AF33*Planes!$I$9)*(1+Hipótesis!$D$8)*(1+Hipótesis!$E$8)</f>
        <v/>
      </c>
      <c r="AG13" s="23">
        <f>('Proyección de ventas'!AG22*Planes!$I$7+'Proyección de ventas'!AG29*Planes!$I$8+'Proyección de ventas'!AG33*Planes!$I$9)*(1+Hipótesis!$D$8)*(1+Hipótesis!$E$8)</f>
        <v/>
      </c>
      <c r="AH13" s="23">
        <f>('Proyección de ventas'!AH22*Planes!$I$7+'Proyección de ventas'!AH29*Planes!$I$8+'Proyección de ventas'!AH33*Planes!$I$9)*(1+Hipótesis!$D$8)*(1+Hipótesis!$E$8)</f>
        <v/>
      </c>
      <c r="AI13" s="23">
        <f>('Proyección de ventas'!AI22*Planes!$I$7+'Proyección de ventas'!AI29*Planes!$I$8+'Proyección de ventas'!AI33*Planes!$I$9)*(1+Hipótesis!$D$8)*(1+Hipótesis!$E$8)</f>
        <v/>
      </c>
      <c r="AJ13" s="23">
        <f>('Proyección de ventas'!AJ22*Planes!$I$7+'Proyección de ventas'!AJ29*Planes!$I$8+'Proyección de ventas'!AJ33*Planes!$I$9)*(1+Hipótesis!$D$8)*(1+Hipótesis!$E$8)</f>
        <v/>
      </c>
      <c r="AK13" s="23">
        <f>('Proyección de ventas'!AK22*Planes!$I$7+'Proyección de ventas'!AK29*Planes!$I$8+'Proyección de ventas'!AK33*Planes!$I$9)*(1+Hipótesis!$D$8)*(1+Hipótesis!$E$8)</f>
        <v/>
      </c>
      <c r="AL13" s="23">
        <f>('Proyección de ventas'!AL22*Planes!$I$7+'Proyección de ventas'!AL29*Planes!$I$8+'Proyección de ventas'!AL33*Planes!$I$9)*(1+Hipótesis!$D$8)*(1+Hipótesis!$E$8)</f>
        <v/>
      </c>
      <c r="AM13" s="23">
        <f>('Proyección de ventas'!AM22*Planes!$I$7+'Proyección de ventas'!AM29*Planes!$I$8+'Proyección de ventas'!AM33*Planes!$I$9)*(1+Hipótesis!$D$8)*(1+Hipótesis!$E$8)</f>
        <v/>
      </c>
      <c r="AN13" s="23">
        <f>('Proyección de ventas'!AN22*Planes!$I$7+'Proyección de ventas'!AN29*Planes!$I$8+'Proyección de ventas'!AN33*Planes!$I$9)*(1+Hipótesis!$D$8)*(1+Hipótesis!$E$8)</f>
        <v/>
      </c>
      <c r="AO13" s="24">
        <f>SUM(AC13:AN13)</f>
        <v/>
      </c>
      <c r="AP13" s="23">
        <f>('Proyección de ventas'!AP22*Planes!$I$7+'Proyección de ventas'!AP29*Planes!$I$8+'Proyección de ventas'!AP33*Planes!$I$9)*(1+Hipótesis!$D$8)*(1+Hipótesis!$E$8)*(1+Hipótesis!$F$8)</f>
        <v/>
      </c>
      <c r="AQ13" s="23">
        <f>('Proyección de ventas'!AQ22*Planes!$I$7+'Proyección de ventas'!AQ29*Planes!$I$8+'Proyección de ventas'!AQ33*Planes!$I$9)*(1+Hipótesis!$D$8)*(1+Hipótesis!$E$8)*(1+Hipótesis!$F$8)</f>
        <v/>
      </c>
      <c r="AR13" s="23">
        <f>('Proyección de ventas'!AR22*Planes!$I$7+'Proyección de ventas'!AR29*Planes!$I$8+'Proyección de ventas'!AR33*Planes!$I$9)*(1+Hipótesis!$D$8)*(1+Hipótesis!$E$8)*(1+Hipótesis!$F$8)</f>
        <v/>
      </c>
      <c r="AS13" s="23">
        <f>('Proyección de ventas'!AS22*Planes!$I$7+'Proyección de ventas'!AS29*Planes!$I$8+'Proyección de ventas'!AS33*Planes!$I$9)*(1+Hipótesis!$D$8)*(1+Hipótesis!$E$8)*(1+Hipótesis!$F$8)</f>
        <v/>
      </c>
      <c r="AT13" s="23">
        <f>('Proyección de ventas'!AT22*Planes!$I$7+'Proyección de ventas'!AT29*Planes!$I$8+'Proyección de ventas'!AT33*Planes!$I$9)*(1+Hipótesis!$D$8)*(1+Hipótesis!$E$8)*(1+Hipótesis!$F$8)</f>
        <v/>
      </c>
      <c r="AU13" s="23">
        <f>('Proyección de ventas'!AU22*Planes!$I$7+'Proyección de ventas'!AU29*Planes!$I$8+'Proyección de ventas'!AU33*Planes!$I$9)*(1+Hipótesis!$D$8)*(1+Hipótesis!$E$8)*(1+Hipótesis!$F$8)</f>
        <v/>
      </c>
      <c r="AV13" s="23">
        <f>('Proyección de ventas'!AV22*Planes!$I$7+'Proyección de ventas'!AV29*Planes!$I$8+'Proyección de ventas'!AV33*Planes!$I$9)*(1+Hipótesis!$D$8)*(1+Hipótesis!$E$8)*(1+Hipótesis!$F$8)</f>
        <v/>
      </c>
      <c r="AW13" s="23">
        <f>('Proyección de ventas'!AW22*Planes!$I$7+'Proyección de ventas'!AW29*Planes!$I$8+'Proyección de ventas'!AW33*Planes!$I$9)*(1+Hipótesis!$D$8)*(1+Hipótesis!$E$8)*(1+Hipótesis!$F$8)</f>
        <v/>
      </c>
      <c r="AX13" s="23">
        <f>('Proyección de ventas'!AX22*Planes!$I$7+'Proyección de ventas'!AX29*Planes!$I$8+'Proyección de ventas'!AX33*Planes!$I$9)*(1+Hipótesis!$D$8)*(1+Hipótesis!$E$8)*(1+Hipótesis!$F$8)</f>
        <v/>
      </c>
      <c r="AY13" s="23">
        <f>('Proyección de ventas'!AY22*Planes!$I$7+'Proyección de ventas'!AY29*Planes!$I$8+'Proyección de ventas'!AY33*Planes!$I$9)*(1+Hipótesis!$D$8)*(1+Hipótesis!$E$8)*(1+Hipótesis!$F$8)</f>
        <v/>
      </c>
      <c r="AZ13" s="23">
        <f>('Proyección de ventas'!AZ22*Planes!$I$7+'Proyección de ventas'!AZ29*Planes!$I$8+'Proyección de ventas'!AZ33*Planes!$I$9)*(1+Hipótesis!$D$8)*(1+Hipótesis!$E$8)*(1+Hipótesis!$F$8)</f>
        <v/>
      </c>
      <c r="BA13" s="23">
        <f>('Proyección de ventas'!BA22*Planes!$I$7+'Proyección de ventas'!BA29*Planes!$I$8+'Proyección de ventas'!BA33*Planes!$I$9)*(1+Hipótesis!$D$8)*(1+Hipótesis!$E$8)*(1+Hipótesis!$F$8)</f>
        <v/>
      </c>
      <c r="BB13" s="24">
        <f>SUM(AP13:BA13)</f>
        <v/>
      </c>
    </row>
    <row r="14">
      <c r="B14" s="16" t="inlineStr">
        <is>
          <t>Total de costos variables</t>
        </is>
      </c>
      <c r="C14" s="15">
        <f>SUM(C11:C13)</f>
        <v/>
      </c>
      <c r="D14" s="15">
        <f>SUM(D11:D13)</f>
        <v/>
      </c>
      <c r="E14" s="15">
        <f>SUM(E11:E13)</f>
        <v/>
      </c>
      <c r="F14" s="15">
        <f>SUM(F11:F13)</f>
        <v/>
      </c>
      <c r="G14" s="15">
        <f>SUM(G11:G13)</f>
        <v/>
      </c>
      <c r="H14" s="15">
        <f>SUM(H11:H13)</f>
        <v/>
      </c>
      <c r="I14" s="15">
        <f>SUM(I11:I13)</f>
        <v/>
      </c>
      <c r="J14" s="15">
        <f>SUM(J11:J13)</f>
        <v/>
      </c>
      <c r="K14" s="15">
        <f>SUM(K11:K13)</f>
        <v/>
      </c>
      <c r="L14" s="15">
        <f>SUM(L11:L13)</f>
        <v/>
      </c>
      <c r="M14" s="15">
        <f>SUM(M11:M13)</f>
        <v/>
      </c>
      <c r="N14" s="15">
        <f>SUM(N11:N13)</f>
        <v/>
      </c>
      <c r="O14" s="24">
        <f>SUM(C14:N14)</f>
        <v/>
      </c>
      <c r="P14" s="15">
        <f>SUM(P11:P13)</f>
        <v/>
      </c>
      <c r="Q14" s="15">
        <f>SUM(Q11:Q13)</f>
        <v/>
      </c>
      <c r="R14" s="15">
        <f>SUM(R11:R13)</f>
        <v/>
      </c>
      <c r="S14" s="15">
        <f>SUM(S11:S13)</f>
        <v/>
      </c>
      <c r="T14" s="15">
        <f>SUM(T11:T13)</f>
        <v/>
      </c>
      <c r="U14" s="15">
        <f>SUM(U11:U13)</f>
        <v/>
      </c>
      <c r="V14" s="15">
        <f>SUM(V11:V13)</f>
        <v/>
      </c>
      <c r="W14" s="15">
        <f>SUM(W11:W13)</f>
        <v/>
      </c>
      <c r="X14" s="15">
        <f>SUM(X11:X13)</f>
        <v/>
      </c>
      <c r="Y14" s="15">
        <f>SUM(Y11:Y13)</f>
        <v/>
      </c>
      <c r="Z14" s="15">
        <f>SUM(Z11:Z13)</f>
        <v/>
      </c>
      <c r="AA14" s="15">
        <f>SUM(AA11:AA13)</f>
        <v/>
      </c>
      <c r="AB14" s="24">
        <f>SUM(P14:AA14)</f>
        <v/>
      </c>
      <c r="AC14" s="15">
        <f>SUM(AC11:AC13)</f>
        <v/>
      </c>
      <c r="AD14" s="15">
        <f>SUM(AD11:AD13)</f>
        <v/>
      </c>
      <c r="AE14" s="15">
        <f>SUM(AE11:AE13)</f>
        <v/>
      </c>
      <c r="AF14" s="15">
        <f>SUM(AF11:AF13)</f>
        <v/>
      </c>
      <c r="AG14" s="15">
        <f>SUM(AG11:AG13)</f>
        <v/>
      </c>
      <c r="AH14" s="15">
        <f>SUM(AH11:AH13)</f>
        <v/>
      </c>
      <c r="AI14" s="15">
        <f>SUM(AI11:AI13)</f>
        <v/>
      </c>
      <c r="AJ14" s="15">
        <f>SUM(AJ11:AJ13)</f>
        <v/>
      </c>
      <c r="AK14" s="15">
        <f>SUM(AK11:AK13)</f>
        <v/>
      </c>
      <c r="AL14" s="15">
        <f>SUM(AL11:AL13)</f>
        <v/>
      </c>
      <c r="AM14" s="15">
        <f>SUM(AM11:AM13)</f>
        <v/>
      </c>
      <c r="AN14" s="15">
        <f>SUM(AN11:AN13)</f>
        <v/>
      </c>
      <c r="AO14" s="24">
        <f>SUM(AC14:AN14)</f>
        <v/>
      </c>
      <c r="AP14" s="15">
        <f>SUM(AP11:AP13)</f>
        <v/>
      </c>
      <c r="AQ14" s="15">
        <f>SUM(AQ11:AQ13)</f>
        <v/>
      </c>
      <c r="AR14" s="15">
        <f>SUM(AR11:AR13)</f>
        <v/>
      </c>
      <c r="AS14" s="15">
        <f>SUM(AS11:AS13)</f>
        <v/>
      </c>
      <c r="AT14" s="15">
        <f>SUM(AT11:AT13)</f>
        <v/>
      </c>
      <c r="AU14" s="15">
        <f>SUM(AU11:AU13)</f>
        <v/>
      </c>
      <c r="AV14" s="15">
        <f>SUM(AV11:AV13)</f>
        <v/>
      </c>
      <c r="AW14" s="15">
        <f>SUM(AW11:AW13)</f>
        <v/>
      </c>
      <c r="AX14" s="15">
        <f>SUM(AX11:AX13)</f>
        <v/>
      </c>
      <c r="AY14" s="15">
        <f>SUM(AY11:AY13)</f>
        <v/>
      </c>
      <c r="AZ14" s="15">
        <f>SUM(AZ11:AZ13)</f>
        <v/>
      </c>
      <c r="BA14" s="15">
        <f>SUM(BA11:BA13)</f>
        <v/>
      </c>
      <c r="BB14" s="24">
        <f>SUM(AP14:BA14)</f>
        <v/>
      </c>
    </row>
    <row r="15"/>
    <row r="16">
      <c r="B16" s="3" t="inlineStr">
        <is>
          <t>El costo del servicio de inteligencia artificial es el único que el sistema mide por sí mismo: cada consulta de clasificación y de asignación queda registrada, así que la estimación de la sección 6.5.3 se puede contrastar contra el consumo real.</t>
        </is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4"/>
</worksheet>
</file>

<file path=xl/worksheets/sheet9.xml><?xml version="1.0" encoding="utf-8"?>
<worksheet xmlns="http://schemas.openxmlformats.org/spreadsheetml/2006/main">
  <sheetPr>
    <tabColor rgb="000F4761"/>
    <outlinePr summaryBelow="1" summaryRight="1"/>
    <pageSetUpPr fitToPage="1"/>
  </sheetPr>
  <dimension ref="A1:BB40"/>
  <sheetViews>
    <sheetView showGridLines="0" workbookViewId="0">
      <pane xSplit="2" ySplit="8" topLeftCell="C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4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4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4" customWidth="1" min="54" max="54"/>
  </cols>
  <sheetData>
    <row r="1">
      <c r="A1" s="7" t="inlineStr">
        <is>
          <t>« Inicio</t>
        </is>
      </c>
    </row>
    <row r="2" ht="24" customHeight="1">
      <c r="B2" s="41" t="inlineStr">
        <is>
          <t>COSTOS DE RRHH</t>
        </is>
      </c>
    </row>
    <row r="3">
      <c r="B3" s="3" t="inlineStr">
        <is>
          <t>Plantilla de la sección 7.6 del documento. Los cuatro roles funcionales se cubren de a poco: en las primeras etapas los socios fundadores asumen más de uno.</t>
        </is>
      </c>
    </row>
    <row r="4"/>
    <row r="5"/>
    <row r="6">
      <c r="B6" s="39" t="inlineStr">
        <is>
          <t>Salario bruto mensual y mes de incorporación</t>
        </is>
      </c>
    </row>
    <row r="7">
      <c r="B7" s="43" t="inlineStr">
        <is>
          <t>Rol</t>
        </is>
      </c>
      <c r="C7" s="43" t="inlineStr">
        <is>
          <t>Salario bruto</t>
        </is>
      </c>
      <c r="D7" s="43" t="inlineStr">
        <is>
          <t>Mes de alta</t>
        </is>
      </c>
    </row>
    <row r="8">
      <c r="B8" s="11" t="inlineStr">
        <is>
          <t>Responsable de Producto y Desarrollo (socio)</t>
        </is>
      </c>
      <c r="C8" s="13" t="n">
        <v>4200000</v>
      </c>
      <c r="D8" s="13" t="n">
        <v>1</v>
      </c>
      <c r="E8" s="3" t="inlineStr">
        <is>
          <t>Socio</t>
        </is>
      </c>
    </row>
    <row r="9">
      <c r="B9" s="11" t="inlineStr">
        <is>
          <t>Responsable Comercial y de Cuentas (socio)</t>
        </is>
      </c>
      <c r="C9" s="13" t="n">
        <v>3600000</v>
      </c>
      <c r="D9" s="13" t="n">
        <v>1</v>
      </c>
      <c r="E9" s="3" t="inlineStr">
        <is>
          <t>Socio</t>
        </is>
      </c>
    </row>
    <row r="10">
      <c r="B10" s="11" t="inlineStr">
        <is>
          <t>Responsable de Soporte y Onboarding</t>
        </is>
      </c>
      <c r="C10" s="13" t="n">
        <v>2400000</v>
      </c>
      <c r="D10" s="13" t="n">
        <v>6</v>
      </c>
      <c r="E10" s="3" t="inlineStr">
        <is>
          <t>Empleado</t>
        </is>
      </c>
    </row>
    <row r="11">
      <c r="B11" s="11" t="inlineStr">
        <is>
          <t>Responsable de Marketing y Contenidos</t>
        </is>
      </c>
      <c r="C11" s="13" t="n">
        <v>2200000</v>
      </c>
      <c r="D11" s="13" t="n">
        <v>9</v>
      </c>
      <c r="E11" s="3" t="inlineStr">
        <is>
          <t>Empleado</t>
        </is>
      </c>
    </row>
    <row r="12">
      <c r="B12" s="11" t="inlineStr">
        <is>
          <t>Colaborador de desarrollo</t>
        </is>
      </c>
      <c r="C12" s="13" t="n">
        <v>2900000</v>
      </c>
      <c r="D12" s="13" t="n">
        <v>9</v>
      </c>
      <c r="E12" s="3" t="inlineStr">
        <is>
          <t>Empleado</t>
        </is>
      </c>
    </row>
    <row r="13">
      <c r="B13" s="11" t="inlineStr">
        <is>
          <t>Segundo colaborador de soporte</t>
        </is>
      </c>
      <c r="C13" s="13" t="n">
        <v>1800000</v>
      </c>
      <c r="D13" s="13" t="n">
        <v>18</v>
      </c>
      <c r="E13" s="3" t="inlineStr">
        <is>
          <t>Empleado</t>
        </is>
      </c>
    </row>
    <row r="14"/>
    <row r="15"/>
    <row r="16">
      <c r="B16" s="39" t="inlineStr">
        <is>
          <t>Retiro de los socios como % de su salario de mercado</t>
        </is>
      </c>
    </row>
    <row r="17">
      <c r="C17" s="42" t="n">
        <v>2027</v>
      </c>
      <c r="D17" s="42" t="n">
        <v>2028</v>
      </c>
      <c r="E17" s="42" t="n">
        <v>2029</v>
      </c>
      <c r="F17" s="42" t="n">
        <v>2030</v>
      </c>
    </row>
    <row r="18">
      <c r="B18" s="11" t="inlineStr">
        <is>
          <t>% del salario de mercado que retira cada socio</t>
        </is>
      </c>
      <c r="C18" s="12" t="n">
        <v>0.3</v>
      </c>
      <c r="D18" s="12" t="n">
        <v>0.55</v>
      </c>
      <c r="E18" s="12" t="n">
        <v>0.8</v>
      </c>
      <c r="F18" s="12" t="n">
        <v>1</v>
      </c>
      <c r="H18" s="3" t="inlineStr">
        <is>
          <t>Decision propia. El ano 1 es un retiro de subsistencia; la brecha contra el 100 % es el aporte de los socios</t>
        </is>
      </c>
    </row>
    <row r="19"/>
    <row r="20">
      <c r="B20" s="39" t="inlineStr">
        <is>
          <t>Cargas sociales sobre el salario bruto</t>
        </is>
      </c>
    </row>
    <row r="21">
      <c r="B21" s="11" t="inlineStr">
        <is>
          <t>Jubilación</t>
        </is>
      </c>
      <c r="C21" s="30" t="n">
        <v>0.1017</v>
      </c>
    </row>
    <row r="22">
      <c r="B22" s="11" t="inlineStr">
        <is>
          <t>PAMI (Ley 19.032)</t>
        </is>
      </c>
      <c r="C22" s="30" t="n">
        <v>0.015</v>
      </c>
    </row>
    <row r="23">
      <c r="B23" s="11" t="inlineStr">
        <is>
          <t>Asignaciones familiares</t>
        </is>
      </c>
      <c r="C23" s="30" t="n">
        <v>0.0444</v>
      </c>
    </row>
    <row r="24">
      <c r="B24" s="11" t="inlineStr">
        <is>
          <t>Fondo Nacional de Empleo</t>
        </is>
      </c>
      <c r="C24" s="30" t="n">
        <v>0.0089</v>
      </c>
    </row>
    <row r="25">
      <c r="B25" s="11" t="inlineStr">
        <is>
          <t>Obra social</t>
        </is>
      </c>
      <c r="C25" s="30" t="n">
        <v>0.06</v>
      </c>
    </row>
    <row r="26">
      <c r="B26" s="16" t="inlineStr">
        <is>
          <t>Total de cargas</t>
        </is>
      </c>
      <c r="C26" s="17">
        <f>SUM(C21:C25)</f>
        <v/>
      </c>
    </row>
    <row r="27"/>
    <row r="28">
      <c r="C28" s="39" t="n">
        <v>2027</v>
      </c>
      <c r="P28" s="39" t="n">
        <v>2028</v>
      </c>
      <c r="AC28" s="39" t="n">
        <v>2029</v>
      </c>
      <c r="AP28" s="39" t="n">
        <v>2030</v>
      </c>
    </row>
    <row r="29">
      <c r="C29" s="45" t="inlineStr">
        <is>
          <t>Ene</t>
        </is>
      </c>
      <c r="D29" s="45" t="inlineStr">
        <is>
          <t>Feb</t>
        </is>
      </c>
      <c r="E29" s="45" t="inlineStr">
        <is>
          <t>Mar</t>
        </is>
      </c>
      <c r="F29" s="45" t="inlineStr">
        <is>
          <t>Abr</t>
        </is>
      </c>
      <c r="G29" s="45" t="inlineStr">
        <is>
          <t>May</t>
        </is>
      </c>
      <c r="H29" s="45" t="inlineStr">
        <is>
          <t>Jun</t>
        </is>
      </c>
      <c r="I29" s="45" t="inlineStr">
        <is>
          <t>Jul</t>
        </is>
      </c>
      <c r="J29" s="45" t="inlineStr">
        <is>
          <t>Ago</t>
        </is>
      </c>
      <c r="K29" s="45" t="inlineStr">
        <is>
          <t>Sep</t>
        </is>
      </c>
      <c r="L29" s="45" t="inlineStr">
        <is>
          <t>Oct</t>
        </is>
      </c>
      <c r="M29" s="45" t="inlineStr">
        <is>
          <t>Nov</t>
        </is>
      </c>
      <c r="N29" s="45" t="inlineStr">
        <is>
          <t>Dic</t>
        </is>
      </c>
      <c r="O29" s="22" t="inlineStr">
        <is>
          <t>Total 2027</t>
        </is>
      </c>
      <c r="P29" s="45" t="inlineStr">
        <is>
          <t>Ene</t>
        </is>
      </c>
      <c r="Q29" s="45" t="inlineStr">
        <is>
          <t>Feb</t>
        </is>
      </c>
      <c r="R29" s="45" t="inlineStr">
        <is>
          <t>Mar</t>
        </is>
      </c>
      <c r="S29" s="45" t="inlineStr">
        <is>
          <t>Abr</t>
        </is>
      </c>
      <c r="T29" s="45" t="inlineStr">
        <is>
          <t>May</t>
        </is>
      </c>
      <c r="U29" s="45" t="inlineStr">
        <is>
          <t>Jun</t>
        </is>
      </c>
      <c r="V29" s="45" t="inlineStr">
        <is>
          <t>Jul</t>
        </is>
      </c>
      <c r="W29" s="45" t="inlineStr">
        <is>
          <t>Ago</t>
        </is>
      </c>
      <c r="X29" s="45" t="inlineStr">
        <is>
          <t>Sep</t>
        </is>
      </c>
      <c r="Y29" s="45" t="inlineStr">
        <is>
          <t>Oct</t>
        </is>
      </c>
      <c r="Z29" s="45" t="inlineStr">
        <is>
          <t>Nov</t>
        </is>
      </c>
      <c r="AA29" s="45" t="inlineStr">
        <is>
          <t>Dic</t>
        </is>
      </c>
      <c r="AB29" s="22" t="inlineStr">
        <is>
          <t>Total 2028</t>
        </is>
      </c>
      <c r="AC29" s="45" t="inlineStr">
        <is>
          <t>Ene</t>
        </is>
      </c>
      <c r="AD29" s="45" t="inlineStr">
        <is>
          <t>Feb</t>
        </is>
      </c>
      <c r="AE29" s="45" t="inlineStr">
        <is>
          <t>Mar</t>
        </is>
      </c>
      <c r="AF29" s="45" t="inlineStr">
        <is>
          <t>Abr</t>
        </is>
      </c>
      <c r="AG29" s="45" t="inlineStr">
        <is>
          <t>May</t>
        </is>
      </c>
      <c r="AH29" s="45" t="inlineStr">
        <is>
          <t>Jun</t>
        </is>
      </c>
      <c r="AI29" s="45" t="inlineStr">
        <is>
          <t>Jul</t>
        </is>
      </c>
      <c r="AJ29" s="45" t="inlineStr">
        <is>
          <t>Ago</t>
        </is>
      </c>
      <c r="AK29" s="45" t="inlineStr">
        <is>
          <t>Sep</t>
        </is>
      </c>
      <c r="AL29" s="45" t="inlineStr">
        <is>
          <t>Oct</t>
        </is>
      </c>
      <c r="AM29" s="45" t="inlineStr">
        <is>
          <t>Nov</t>
        </is>
      </c>
      <c r="AN29" s="45" t="inlineStr">
        <is>
          <t>Dic</t>
        </is>
      </c>
      <c r="AO29" s="22" t="inlineStr">
        <is>
          <t>Total 2029</t>
        </is>
      </c>
      <c r="AP29" s="45" t="inlineStr">
        <is>
          <t>Ene</t>
        </is>
      </c>
      <c r="AQ29" s="45" t="inlineStr">
        <is>
          <t>Feb</t>
        </is>
      </c>
      <c r="AR29" s="45" t="inlineStr">
        <is>
          <t>Mar</t>
        </is>
      </c>
      <c r="AS29" s="45" t="inlineStr">
        <is>
          <t>Abr</t>
        </is>
      </c>
      <c r="AT29" s="45" t="inlineStr">
        <is>
          <t>May</t>
        </is>
      </c>
      <c r="AU29" s="45" t="inlineStr">
        <is>
          <t>Jun</t>
        </is>
      </c>
      <c r="AV29" s="45" t="inlineStr">
        <is>
          <t>Jul</t>
        </is>
      </c>
      <c r="AW29" s="45" t="inlineStr">
        <is>
          <t>Ago</t>
        </is>
      </c>
      <c r="AX29" s="45" t="inlineStr">
        <is>
          <t>Sep</t>
        </is>
      </c>
      <c r="AY29" s="45" t="inlineStr">
        <is>
          <t>Oct</t>
        </is>
      </c>
      <c r="AZ29" s="45" t="inlineStr">
        <is>
          <t>Nov</t>
        </is>
      </c>
      <c r="BA29" s="45" t="inlineStr">
        <is>
          <t>Dic</t>
        </is>
      </c>
      <c r="BB29" s="22" t="inlineStr">
        <is>
          <t>Total 2030</t>
        </is>
      </c>
    </row>
    <row r="30">
      <c r="B30" s="39" t="inlineStr">
        <is>
          <t>Salarios brutos por rol</t>
        </is>
      </c>
    </row>
    <row r="31">
      <c r="A31" s="16" t="inlineStr">
        <is>
          <t>SUELDOS</t>
        </is>
      </c>
      <c r="B31" s="11" t="inlineStr">
        <is>
          <t>Responsable de Producto y Desarrollo (socio)</t>
        </is>
      </c>
      <c r="C31" s="23">
        <f>IF(1&lt;$D$8,0,$C$8*1*1*$C$18)</f>
        <v/>
      </c>
      <c r="D31" s="23">
        <f>IF(2&lt;$D$8,0,$C$8*1*1*$C$18)</f>
        <v/>
      </c>
      <c r="E31" s="23">
        <f>IF(3&lt;$D$8,0,$C$8*1*1*$C$18)</f>
        <v/>
      </c>
      <c r="F31" s="23">
        <f>IF(4&lt;$D$8,0,$C$8*1*1*$C$18)</f>
        <v/>
      </c>
      <c r="G31" s="23">
        <f>IF(5&lt;$D$8,0,$C$8*1*1*$C$18)</f>
        <v/>
      </c>
      <c r="H31" s="23">
        <f>IF(6&lt;$D$8,0,$C$8*1*1.5*$C$18)</f>
        <v/>
      </c>
      <c r="I31" s="23">
        <f>IF(7&lt;$D$8,0,$C$8*1*1*$C$18)</f>
        <v/>
      </c>
      <c r="J31" s="23">
        <f>IF(8&lt;$D$8,0,$C$8*1*1*$C$18)</f>
        <v/>
      </c>
      <c r="K31" s="23">
        <f>IF(9&lt;$D$8,0,$C$8*1*1*$C$18)</f>
        <v/>
      </c>
      <c r="L31" s="23">
        <f>IF(10&lt;$D$8,0,$C$8*1*1*$C$18)</f>
        <v/>
      </c>
      <c r="M31" s="23">
        <f>IF(11&lt;$D$8,0,$C$8*1*1*$C$18)</f>
        <v/>
      </c>
      <c r="N31" s="23">
        <f>IF(12&lt;$D$8,0,$C$8*1*1.5*$C$18)</f>
        <v/>
      </c>
      <c r="O31" s="24">
        <f>SUM(C31:N31)</f>
        <v/>
      </c>
      <c r="P31" s="23">
        <f>IF(13&lt;$D$8,0,$C$8*(1+Hipótesis!$D$12)*1*$D$18)</f>
        <v/>
      </c>
      <c r="Q31" s="23">
        <f>IF(14&lt;$D$8,0,$C$8*(1+Hipótesis!$D$12)*1*$D$18)</f>
        <v/>
      </c>
      <c r="R31" s="23">
        <f>IF(15&lt;$D$8,0,$C$8*(1+Hipótesis!$D$12)*1*$D$18)</f>
        <v/>
      </c>
      <c r="S31" s="23">
        <f>IF(16&lt;$D$8,0,$C$8*(1+Hipótesis!$D$12)*1*$D$18)</f>
        <v/>
      </c>
      <c r="T31" s="23">
        <f>IF(17&lt;$D$8,0,$C$8*(1+Hipótesis!$D$12)*1*$D$18)</f>
        <v/>
      </c>
      <c r="U31" s="23">
        <f>IF(18&lt;$D$8,0,$C$8*(1+Hipótesis!$D$12)*1.5*$D$18)</f>
        <v/>
      </c>
      <c r="V31" s="23">
        <f>IF(19&lt;$D$8,0,$C$8*(1+Hipótesis!$D$12)*1*$D$18)</f>
        <v/>
      </c>
      <c r="W31" s="23">
        <f>IF(20&lt;$D$8,0,$C$8*(1+Hipótesis!$D$12)*1*$D$18)</f>
        <v/>
      </c>
      <c r="X31" s="23">
        <f>IF(21&lt;$D$8,0,$C$8*(1+Hipótesis!$D$12)*1*$D$18)</f>
        <v/>
      </c>
      <c r="Y31" s="23">
        <f>IF(22&lt;$D$8,0,$C$8*(1+Hipótesis!$D$12)*1*$D$18)</f>
        <v/>
      </c>
      <c r="Z31" s="23">
        <f>IF(23&lt;$D$8,0,$C$8*(1+Hipótesis!$D$12)*1*$D$18)</f>
        <v/>
      </c>
      <c r="AA31" s="23">
        <f>IF(24&lt;$D$8,0,$C$8*(1+Hipótesis!$D$12)*1.5*$D$18)</f>
        <v/>
      </c>
      <c r="AB31" s="24">
        <f>SUM(P31:AA31)</f>
        <v/>
      </c>
      <c r="AC31" s="23">
        <f>IF(25&lt;$D$8,0,$C$8*(1+Hipótesis!$D$12)*(1+Hipótesis!$E$12)*1*$E$18)</f>
        <v/>
      </c>
      <c r="AD31" s="23">
        <f>IF(26&lt;$D$8,0,$C$8*(1+Hipótesis!$D$12)*(1+Hipótesis!$E$12)*1*$E$18)</f>
        <v/>
      </c>
      <c r="AE31" s="23">
        <f>IF(27&lt;$D$8,0,$C$8*(1+Hipótesis!$D$12)*(1+Hipótesis!$E$12)*1*$E$18)</f>
        <v/>
      </c>
      <c r="AF31" s="23">
        <f>IF(28&lt;$D$8,0,$C$8*(1+Hipótesis!$D$12)*(1+Hipótesis!$E$12)*1*$E$18)</f>
        <v/>
      </c>
      <c r="AG31" s="23">
        <f>IF(29&lt;$D$8,0,$C$8*(1+Hipótesis!$D$12)*(1+Hipótesis!$E$12)*1*$E$18)</f>
        <v/>
      </c>
      <c r="AH31" s="23">
        <f>IF(30&lt;$D$8,0,$C$8*(1+Hipótesis!$D$12)*(1+Hipótesis!$E$12)*1.5*$E$18)</f>
        <v/>
      </c>
      <c r="AI31" s="23">
        <f>IF(31&lt;$D$8,0,$C$8*(1+Hipótesis!$D$12)*(1+Hipótesis!$E$12)*1*$E$18)</f>
        <v/>
      </c>
      <c r="AJ31" s="23">
        <f>IF(32&lt;$D$8,0,$C$8*(1+Hipótesis!$D$12)*(1+Hipótesis!$E$12)*1*$E$18)</f>
        <v/>
      </c>
      <c r="AK31" s="23">
        <f>IF(33&lt;$D$8,0,$C$8*(1+Hipótesis!$D$12)*(1+Hipótesis!$E$12)*1*$E$18)</f>
        <v/>
      </c>
      <c r="AL31" s="23">
        <f>IF(34&lt;$D$8,0,$C$8*(1+Hipótesis!$D$12)*(1+Hipótesis!$E$12)*1*$E$18)</f>
        <v/>
      </c>
      <c r="AM31" s="23">
        <f>IF(35&lt;$D$8,0,$C$8*(1+Hipótesis!$D$12)*(1+Hipótesis!$E$12)*1*$E$18)</f>
        <v/>
      </c>
      <c r="AN31" s="23">
        <f>IF(36&lt;$D$8,0,$C$8*(1+Hipótesis!$D$12)*(1+Hipótesis!$E$12)*1.5*$E$18)</f>
        <v/>
      </c>
      <c r="AO31" s="24">
        <f>SUM(AC31:AN31)</f>
        <v/>
      </c>
      <c r="AP31" s="23">
        <f>IF(37&lt;$D$8,0,$C$8*(1+Hipótesis!$D$12)*(1+Hipótesis!$E$12)*(1+Hipótesis!$F$12)*1*$F$18)</f>
        <v/>
      </c>
      <c r="AQ31" s="23">
        <f>IF(38&lt;$D$8,0,$C$8*(1+Hipótesis!$D$12)*(1+Hipótesis!$E$12)*(1+Hipótesis!$F$12)*1*$F$18)</f>
        <v/>
      </c>
      <c r="AR31" s="23">
        <f>IF(39&lt;$D$8,0,$C$8*(1+Hipótesis!$D$12)*(1+Hipótesis!$E$12)*(1+Hipótesis!$F$12)*1*$F$18)</f>
        <v/>
      </c>
      <c r="AS31" s="23">
        <f>IF(40&lt;$D$8,0,$C$8*(1+Hipótesis!$D$12)*(1+Hipótesis!$E$12)*(1+Hipótesis!$F$12)*1*$F$18)</f>
        <v/>
      </c>
      <c r="AT31" s="23">
        <f>IF(41&lt;$D$8,0,$C$8*(1+Hipótesis!$D$12)*(1+Hipótesis!$E$12)*(1+Hipótesis!$F$12)*1*$F$18)</f>
        <v/>
      </c>
      <c r="AU31" s="23">
        <f>IF(42&lt;$D$8,0,$C$8*(1+Hipótesis!$D$12)*(1+Hipótesis!$E$12)*(1+Hipótesis!$F$12)*1.5*$F$18)</f>
        <v/>
      </c>
      <c r="AV31" s="23">
        <f>IF(43&lt;$D$8,0,$C$8*(1+Hipótesis!$D$12)*(1+Hipótesis!$E$12)*(1+Hipótesis!$F$12)*1*$F$18)</f>
        <v/>
      </c>
      <c r="AW31" s="23">
        <f>IF(44&lt;$D$8,0,$C$8*(1+Hipótesis!$D$12)*(1+Hipótesis!$E$12)*(1+Hipótesis!$F$12)*1*$F$18)</f>
        <v/>
      </c>
      <c r="AX31" s="23">
        <f>IF(45&lt;$D$8,0,$C$8*(1+Hipótesis!$D$12)*(1+Hipótesis!$E$12)*(1+Hipótesis!$F$12)*1*$F$18)</f>
        <v/>
      </c>
      <c r="AY31" s="23">
        <f>IF(46&lt;$D$8,0,$C$8*(1+Hipótesis!$D$12)*(1+Hipótesis!$E$12)*(1+Hipótesis!$F$12)*1*$F$18)</f>
        <v/>
      </c>
      <c r="AZ31" s="23">
        <f>IF(47&lt;$D$8,0,$C$8*(1+Hipótesis!$D$12)*(1+Hipótesis!$E$12)*(1+Hipótesis!$F$12)*1*$F$18)</f>
        <v/>
      </c>
      <c r="BA31" s="23">
        <f>IF(48&lt;$D$8,0,$C$8*(1+Hipótesis!$D$12)*(1+Hipótesis!$E$12)*(1+Hipótesis!$F$12)*1.5*$F$18)</f>
        <v/>
      </c>
      <c r="BB31" s="24">
        <f>SUM(AP31:BA31)</f>
        <v/>
      </c>
    </row>
    <row r="32">
      <c r="B32" s="11" t="inlineStr">
        <is>
          <t>Responsable Comercial y de Cuentas (socio)</t>
        </is>
      </c>
      <c r="C32" s="23">
        <f>IF(1&lt;$D$9,0,$C$9*1*1*$C$18)</f>
        <v/>
      </c>
      <c r="D32" s="23">
        <f>IF(2&lt;$D$9,0,$C$9*1*1*$C$18)</f>
        <v/>
      </c>
      <c r="E32" s="23">
        <f>IF(3&lt;$D$9,0,$C$9*1*1*$C$18)</f>
        <v/>
      </c>
      <c r="F32" s="23">
        <f>IF(4&lt;$D$9,0,$C$9*1*1*$C$18)</f>
        <v/>
      </c>
      <c r="G32" s="23">
        <f>IF(5&lt;$D$9,0,$C$9*1*1*$C$18)</f>
        <v/>
      </c>
      <c r="H32" s="23">
        <f>IF(6&lt;$D$9,0,$C$9*1*1.5*$C$18)</f>
        <v/>
      </c>
      <c r="I32" s="23">
        <f>IF(7&lt;$D$9,0,$C$9*1*1*$C$18)</f>
        <v/>
      </c>
      <c r="J32" s="23">
        <f>IF(8&lt;$D$9,0,$C$9*1*1*$C$18)</f>
        <v/>
      </c>
      <c r="K32" s="23">
        <f>IF(9&lt;$D$9,0,$C$9*1*1*$C$18)</f>
        <v/>
      </c>
      <c r="L32" s="23">
        <f>IF(10&lt;$D$9,0,$C$9*1*1*$C$18)</f>
        <v/>
      </c>
      <c r="M32" s="23">
        <f>IF(11&lt;$D$9,0,$C$9*1*1*$C$18)</f>
        <v/>
      </c>
      <c r="N32" s="23">
        <f>IF(12&lt;$D$9,0,$C$9*1*1.5*$C$18)</f>
        <v/>
      </c>
      <c r="O32" s="24">
        <f>SUM(C32:N32)</f>
        <v/>
      </c>
      <c r="P32" s="23">
        <f>IF(13&lt;$D$9,0,$C$9*(1+Hipótesis!$D$12)*1*$D$18)</f>
        <v/>
      </c>
      <c r="Q32" s="23">
        <f>IF(14&lt;$D$9,0,$C$9*(1+Hipótesis!$D$12)*1*$D$18)</f>
        <v/>
      </c>
      <c r="R32" s="23">
        <f>IF(15&lt;$D$9,0,$C$9*(1+Hipótesis!$D$12)*1*$D$18)</f>
        <v/>
      </c>
      <c r="S32" s="23">
        <f>IF(16&lt;$D$9,0,$C$9*(1+Hipótesis!$D$12)*1*$D$18)</f>
        <v/>
      </c>
      <c r="T32" s="23">
        <f>IF(17&lt;$D$9,0,$C$9*(1+Hipótesis!$D$12)*1*$D$18)</f>
        <v/>
      </c>
      <c r="U32" s="23">
        <f>IF(18&lt;$D$9,0,$C$9*(1+Hipótesis!$D$12)*1.5*$D$18)</f>
        <v/>
      </c>
      <c r="V32" s="23">
        <f>IF(19&lt;$D$9,0,$C$9*(1+Hipótesis!$D$12)*1*$D$18)</f>
        <v/>
      </c>
      <c r="W32" s="23">
        <f>IF(20&lt;$D$9,0,$C$9*(1+Hipótesis!$D$12)*1*$D$18)</f>
        <v/>
      </c>
      <c r="X32" s="23">
        <f>IF(21&lt;$D$9,0,$C$9*(1+Hipótesis!$D$12)*1*$D$18)</f>
        <v/>
      </c>
      <c r="Y32" s="23">
        <f>IF(22&lt;$D$9,0,$C$9*(1+Hipótesis!$D$12)*1*$D$18)</f>
        <v/>
      </c>
      <c r="Z32" s="23">
        <f>IF(23&lt;$D$9,0,$C$9*(1+Hipótesis!$D$12)*1*$D$18)</f>
        <v/>
      </c>
      <c r="AA32" s="23">
        <f>IF(24&lt;$D$9,0,$C$9*(1+Hipótesis!$D$12)*1.5*$D$18)</f>
        <v/>
      </c>
      <c r="AB32" s="24">
        <f>SUM(P32:AA32)</f>
        <v/>
      </c>
      <c r="AC32" s="23">
        <f>IF(25&lt;$D$9,0,$C$9*(1+Hipótesis!$D$12)*(1+Hipótesis!$E$12)*1*$E$18)</f>
        <v/>
      </c>
      <c r="AD32" s="23">
        <f>IF(26&lt;$D$9,0,$C$9*(1+Hipótesis!$D$12)*(1+Hipótesis!$E$12)*1*$E$18)</f>
        <v/>
      </c>
      <c r="AE32" s="23">
        <f>IF(27&lt;$D$9,0,$C$9*(1+Hipótesis!$D$12)*(1+Hipótesis!$E$12)*1*$E$18)</f>
        <v/>
      </c>
      <c r="AF32" s="23">
        <f>IF(28&lt;$D$9,0,$C$9*(1+Hipótesis!$D$12)*(1+Hipótesis!$E$12)*1*$E$18)</f>
        <v/>
      </c>
      <c r="AG32" s="23">
        <f>IF(29&lt;$D$9,0,$C$9*(1+Hipótesis!$D$12)*(1+Hipótesis!$E$12)*1*$E$18)</f>
        <v/>
      </c>
      <c r="AH32" s="23">
        <f>IF(30&lt;$D$9,0,$C$9*(1+Hipótesis!$D$12)*(1+Hipótesis!$E$12)*1.5*$E$18)</f>
        <v/>
      </c>
      <c r="AI32" s="23">
        <f>IF(31&lt;$D$9,0,$C$9*(1+Hipótesis!$D$12)*(1+Hipótesis!$E$12)*1*$E$18)</f>
        <v/>
      </c>
      <c r="AJ32" s="23">
        <f>IF(32&lt;$D$9,0,$C$9*(1+Hipótesis!$D$12)*(1+Hipótesis!$E$12)*1*$E$18)</f>
        <v/>
      </c>
      <c r="AK32" s="23">
        <f>IF(33&lt;$D$9,0,$C$9*(1+Hipótesis!$D$12)*(1+Hipótesis!$E$12)*1*$E$18)</f>
        <v/>
      </c>
      <c r="AL32" s="23">
        <f>IF(34&lt;$D$9,0,$C$9*(1+Hipótesis!$D$12)*(1+Hipótesis!$E$12)*1*$E$18)</f>
        <v/>
      </c>
      <c r="AM32" s="23">
        <f>IF(35&lt;$D$9,0,$C$9*(1+Hipótesis!$D$12)*(1+Hipótesis!$E$12)*1*$E$18)</f>
        <v/>
      </c>
      <c r="AN32" s="23">
        <f>IF(36&lt;$D$9,0,$C$9*(1+Hipótesis!$D$12)*(1+Hipótesis!$E$12)*1.5*$E$18)</f>
        <v/>
      </c>
      <c r="AO32" s="24">
        <f>SUM(AC32:AN32)</f>
        <v/>
      </c>
      <c r="AP32" s="23">
        <f>IF(37&lt;$D$9,0,$C$9*(1+Hipótesis!$D$12)*(1+Hipótesis!$E$12)*(1+Hipótesis!$F$12)*1*$F$18)</f>
        <v/>
      </c>
      <c r="AQ32" s="23">
        <f>IF(38&lt;$D$9,0,$C$9*(1+Hipótesis!$D$12)*(1+Hipótesis!$E$12)*(1+Hipótesis!$F$12)*1*$F$18)</f>
        <v/>
      </c>
      <c r="AR32" s="23">
        <f>IF(39&lt;$D$9,0,$C$9*(1+Hipótesis!$D$12)*(1+Hipótesis!$E$12)*(1+Hipótesis!$F$12)*1*$F$18)</f>
        <v/>
      </c>
      <c r="AS32" s="23">
        <f>IF(40&lt;$D$9,0,$C$9*(1+Hipótesis!$D$12)*(1+Hipótesis!$E$12)*(1+Hipótesis!$F$12)*1*$F$18)</f>
        <v/>
      </c>
      <c r="AT32" s="23">
        <f>IF(41&lt;$D$9,0,$C$9*(1+Hipótesis!$D$12)*(1+Hipótesis!$E$12)*(1+Hipótesis!$F$12)*1*$F$18)</f>
        <v/>
      </c>
      <c r="AU32" s="23">
        <f>IF(42&lt;$D$9,0,$C$9*(1+Hipótesis!$D$12)*(1+Hipótesis!$E$12)*(1+Hipótesis!$F$12)*1.5*$F$18)</f>
        <v/>
      </c>
      <c r="AV32" s="23">
        <f>IF(43&lt;$D$9,0,$C$9*(1+Hipótesis!$D$12)*(1+Hipótesis!$E$12)*(1+Hipótesis!$F$12)*1*$F$18)</f>
        <v/>
      </c>
      <c r="AW32" s="23">
        <f>IF(44&lt;$D$9,0,$C$9*(1+Hipótesis!$D$12)*(1+Hipótesis!$E$12)*(1+Hipótesis!$F$12)*1*$F$18)</f>
        <v/>
      </c>
      <c r="AX32" s="23">
        <f>IF(45&lt;$D$9,0,$C$9*(1+Hipótesis!$D$12)*(1+Hipótesis!$E$12)*(1+Hipótesis!$F$12)*1*$F$18)</f>
        <v/>
      </c>
      <c r="AY32" s="23">
        <f>IF(46&lt;$D$9,0,$C$9*(1+Hipótesis!$D$12)*(1+Hipótesis!$E$12)*(1+Hipótesis!$F$12)*1*$F$18)</f>
        <v/>
      </c>
      <c r="AZ32" s="23">
        <f>IF(47&lt;$D$9,0,$C$9*(1+Hipótesis!$D$12)*(1+Hipótesis!$E$12)*(1+Hipótesis!$F$12)*1*$F$18)</f>
        <v/>
      </c>
      <c r="BA32" s="23">
        <f>IF(48&lt;$D$9,0,$C$9*(1+Hipótesis!$D$12)*(1+Hipótesis!$E$12)*(1+Hipótesis!$F$12)*1.5*$F$18)</f>
        <v/>
      </c>
      <c r="BB32" s="24">
        <f>SUM(AP32:BA32)</f>
        <v/>
      </c>
    </row>
    <row r="33">
      <c r="B33" s="11" t="inlineStr">
        <is>
          <t>Responsable de Soporte y Onboarding</t>
        </is>
      </c>
      <c r="C33" s="23">
        <f>IF(1&lt;$D$10,0,$C$10*1*1)</f>
        <v/>
      </c>
      <c r="D33" s="23">
        <f>IF(2&lt;$D$10,0,$C$10*1*1)</f>
        <v/>
      </c>
      <c r="E33" s="23">
        <f>IF(3&lt;$D$10,0,$C$10*1*1)</f>
        <v/>
      </c>
      <c r="F33" s="23">
        <f>IF(4&lt;$D$10,0,$C$10*1*1)</f>
        <v/>
      </c>
      <c r="G33" s="23">
        <f>IF(5&lt;$D$10,0,$C$10*1*1)</f>
        <v/>
      </c>
      <c r="H33" s="23">
        <f>IF(6&lt;$D$10,0,$C$10*1*1.5)</f>
        <v/>
      </c>
      <c r="I33" s="23">
        <f>IF(7&lt;$D$10,0,$C$10*1*1)</f>
        <v/>
      </c>
      <c r="J33" s="23">
        <f>IF(8&lt;$D$10,0,$C$10*1*1)</f>
        <v/>
      </c>
      <c r="K33" s="23">
        <f>IF(9&lt;$D$10,0,$C$10*1*1)</f>
        <v/>
      </c>
      <c r="L33" s="23">
        <f>IF(10&lt;$D$10,0,$C$10*1*1)</f>
        <v/>
      </c>
      <c r="M33" s="23">
        <f>IF(11&lt;$D$10,0,$C$10*1*1)</f>
        <v/>
      </c>
      <c r="N33" s="23">
        <f>IF(12&lt;$D$10,0,$C$10*1*1.5)</f>
        <v/>
      </c>
      <c r="O33" s="24">
        <f>SUM(C33:N33)</f>
        <v/>
      </c>
      <c r="P33" s="23">
        <f>IF(13&lt;$D$10,0,$C$10*(1+Hipótesis!$D$12)*1)</f>
        <v/>
      </c>
      <c r="Q33" s="23">
        <f>IF(14&lt;$D$10,0,$C$10*(1+Hipótesis!$D$12)*1)</f>
        <v/>
      </c>
      <c r="R33" s="23">
        <f>IF(15&lt;$D$10,0,$C$10*(1+Hipótesis!$D$12)*1)</f>
        <v/>
      </c>
      <c r="S33" s="23">
        <f>IF(16&lt;$D$10,0,$C$10*(1+Hipótesis!$D$12)*1)</f>
        <v/>
      </c>
      <c r="T33" s="23">
        <f>IF(17&lt;$D$10,0,$C$10*(1+Hipótesis!$D$12)*1)</f>
        <v/>
      </c>
      <c r="U33" s="23">
        <f>IF(18&lt;$D$10,0,$C$10*(1+Hipótesis!$D$12)*1.5)</f>
        <v/>
      </c>
      <c r="V33" s="23">
        <f>IF(19&lt;$D$10,0,$C$10*(1+Hipótesis!$D$12)*1)</f>
        <v/>
      </c>
      <c r="W33" s="23">
        <f>IF(20&lt;$D$10,0,$C$10*(1+Hipótesis!$D$12)*1)</f>
        <v/>
      </c>
      <c r="X33" s="23">
        <f>IF(21&lt;$D$10,0,$C$10*(1+Hipótesis!$D$12)*1)</f>
        <v/>
      </c>
      <c r="Y33" s="23">
        <f>IF(22&lt;$D$10,0,$C$10*(1+Hipótesis!$D$12)*1)</f>
        <v/>
      </c>
      <c r="Z33" s="23">
        <f>IF(23&lt;$D$10,0,$C$10*(1+Hipótesis!$D$12)*1)</f>
        <v/>
      </c>
      <c r="AA33" s="23">
        <f>IF(24&lt;$D$10,0,$C$10*(1+Hipótesis!$D$12)*1.5)</f>
        <v/>
      </c>
      <c r="AB33" s="24">
        <f>SUM(P33:AA33)</f>
        <v/>
      </c>
      <c r="AC33" s="23">
        <f>IF(25&lt;$D$10,0,$C$10*(1+Hipótesis!$D$12)*(1+Hipótesis!$E$12)*1)</f>
        <v/>
      </c>
      <c r="AD33" s="23">
        <f>IF(26&lt;$D$10,0,$C$10*(1+Hipótesis!$D$12)*(1+Hipótesis!$E$12)*1)</f>
        <v/>
      </c>
      <c r="AE33" s="23">
        <f>IF(27&lt;$D$10,0,$C$10*(1+Hipótesis!$D$12)*(1+Hipótesis!$E$12)*1)</f>
        <v/>
      </c>
      <c r="AF33" s="23">
        <f>IF(28&lt;$D$10,0,$C$10*(1+Hipótesis!$D$12)*(1+Hipótesis!$E$12)*1)</f>
        <v/>
      </c>
      <c r="AG33" s="23">
        <f>IF(29&lt;$D$10,0,$C$10*(1+Hipótesis!$D$12)*(1+Hipótesis!$E$12)*1)</f>
        <v/>
      </c>
      <c r="AH33" s="23">
        <f>IF(30&lt;$D$10,0,$C$10*(1+Hipótesis!$D$12)*(1+Hipótesis!$E$12)*1.5)</f>
        <v/>
      </c>
      <c r="AI33" s="23">
        <f>IF(31&lt;$D$10,0,$C$10*(1+Hipótesis!$D$12)*(1+Hipótesis!$E$12)*1)</f>
        <v/>
      </c>
      <c r="AJ33" s="23">
        <f>IF(32&lt;$D$10,0,$C$10*(1+Hipótesis!$D$12)*(1+Hipótesis!$E$12)*1)</f>
        <v/>
      </c>
      <c r="AK33" s="23">
        <f>IF(33&lt;$D$10,0,$C$10*(1+Hipótesis!$D$12)*(1+Hipótesis!$E$12)*1)</f>
        <v/>
      </c>
      <c r="AL33" s="23">
        <f>IF(34&lt;$D$10,0,$C$10*(1+Hipótesis!$D$12)*(1+Hipótesis!$E$12)*1)</f>
        <v/>
      </c>
      <c r="AM33" s="23">
        <f>IF(35&lt;$D$10,0,$C$10*(1+Hipótesis!$D$12)*(1+Hipótesis!$E$12)*1)</f>
        <v/>
      </c>
      <c r="AN33" s="23">
        <f>IF(36&lt;$D$10,0,$C$10*(1+Hipótesis!$D$12)*(1+Hipótesis!$E$12)*1.5)</f>
        <v/>
      </c>
      <c r="AO33" s="24">
        <f>SUM(AC33:AN33)</f>
        <v/>
      </c>
      <c r="AP33" s="23">
        <f>IF(37&lt;$D$10,0,$C$10*(1+Hipótesis!$D$12)*(1+Hipótesis!$E$12)*(1+Hipótesis!$F$12)*1)</f>
        <v/>
      </c>
      <c r="AQ33" s="23">
        <f>IF(38&lt;$D$10,0,$C$10*(1+Hipótesis!$D$12)*(1+Hipótesis!$E$12)*(1+Hipótesis!$F$12)*1)</f>
        <v/>
      </c>
      <c r="AR33" s="23">
        <f>IF(39&lt;$D$10,0,$C$10*(1+Hipótesis!$D$12)*(1+Hipótesis!$E$12)*(1+Hipótesis!$F$12)*1)</f>
        <v/>
      </c>
      <c r="AS33" s="23">
        <f>IF(40&lt;$D$10,0,$C$10*(1+Hipótesis!$D$12)*(1+Hipótesis!$E$12)*(1+Hipótesis!$F$12)*1)</f>
        <v/>
      </c>
      <c r="AT33" s="23">
        <f>IF(41&lt;$D$10,0,$C$10*(1+Hipótesis!$D$12)*(1+Hipótesis!$E$12)*(1+Hipótesis!$F$12)*1)</f>
        <v/>
      </c>
      <c r="AU33" s="23">
        <f>IF(42&lt;$D$10,0,$C$10*(1+Hipótesis!$D$12)*(1+Hipótesis!$E$12)*(1+Hipótesis!$F$12)*1.5)</f>
        <v/>
      </c>
      <c r="AV33" s="23">
        <f>IF(43&lt;$D$10,0,$C$10*(1+Hipótesis!$D$12)*(1+Hipótesis!$E$12)*(1+Hipótesis!$F$12)*1)</f>
        <v/>
      </c>
      <c r="AW33" s="23">
        <f>IF(44&lt;$D$10,0,$C$10*(1+Hipótesis!$D$12)*(1+Hipótesis!$E$12)*(1+Hipótesis!$F$12)*1)</f>
        <v/>
      </c>
      <c r="AX33" s="23">
        <f>IF(45&lt;$D$10,0,$C$10*(1+Hipótesis!$D$12)*(1+Hipótesis!$E$12)*(1+Hipótesis!$F$12)*1)</f>
        <v/>
      </c>
      <c r="AY33" s="23">
        <f>IF(46&lt;$D$10,0,$C$10*(1+Hipótesis!$D$12)*(1+Hipótesis!$E$12)*(1+Hipótesis!$F$12)*1)</f>
        <v/>
      </c>
      <c r="AZ33" s="23">
        <f>IF(47&lt;$D$10,0,$C$10*(1+Hipótesis!$D$12)*(1+Hipótesis!$E$12)*(1+Hipótesis!$F$12)*1)</f>
        <v/>
      </c>
      <c r="BA33" s="23">
        <f>IF(48&lt;$D$10,0,$C$10*(1+Hipótesis!$D$12)*(1+Hipótesis!$E$12)*(1+Hipótesis!$F$12)*1.5)</f>
        <v/>
      </c>
      <c r="BB33" s="24">
        <f>SUM(AP33:BA33)</f>
        <v/>
      </c>
    </row>
    <row r="34">
      <c r="B34" s="11" t="inlineStr">
        <is>
          <t>Responsable de Marketing y Contenidos</t>
        </is>
      </c>
      <c r="C34" s="23">
        <f>IF(1&lt;$D$11,0,$C$11*1*1)</f>
        <v/>
      </c>
      <c r="D34" s="23">
        <f>IF(2&lt;$D$11,0,$C$11*1*1)</f>
        <v/>
      </c>
      <c r="E34" s="23">
        <f>IF(3&lt;$D$11,0,$C$11*1*1)</f>
        <v/>
      </c>
      <c r="F34" s="23">
        <f>IF(4&lt;$D$11,0,$C$11*1*1)</f>
        <v/>
      </c>
      <c r="G34" s="23">
        <f>IF(5&lt;$D$11,0,$C$11*1*1)</f>
        <v/>
      </c>
      <c r="H34" s="23">
        <f>IF(6&lt;$D$11,0,$C$11*1*1.5)</f>
        <v/>
      </c>
      <c r="I34" s="23">
        <f>IF(7&lt;$D$11,0,$C$11*1*1)</f>
        <v/>
      </c>
      <c r="J34" s="23">
        <f>IF(8&lt;$D$11,0,$C$11*1*1)</f>
        <v/>
      </c>
      <c r="K34" s="23">
        <f>IF(9&lt;$D$11,0,$C$11*1*1)</f>
        <v/>
      </c>
      <c r="L34" s="23">
        <f>IF(10&lt;$D$11,0,$C$11*1*1)</f>
        <v/>
      </c>
      <c r="M34" s="23">
        <f>IF(11&lt;$D$11,0,$C$11*1*1)</f>
        <v/>
      </c>
      <c r="N34" s="23">
        <f>IF(12&lt;$D$11,0,$C$11*1*1.5)</f>
        <v/>
      </c>
      <c r="O34" s="24">
        <f>SUM(C34:N34)</f>
        <v/>
      </c>
      <c r="P34" s="23">
        <f>IF(13&lt;$D$11,0,$C$11*(1+Hipótesis!$D$12)*1)</f>
        <v/>
      </c>
      <c r="Q34" s="23">
        <f>IF(14&lt;$D$11,0,$C$11*(1+Hipótesis!$D$12)*1)</f>
        <v/>
      </c>
      <c r="R34" s="23">
        <f>IF(15&lt;$D$11,0,$C$11*(1+Hipótesis!$D$12)*1)</f>
        <v/>
      </c>
      <c r="S34" s="23">
        <f>IF(16&lt;$D$11,0,$C$11*(1+Hipótesis!$D$12)*1)</f>
        <v/>
      </c>
      <c r="T34" s="23">
        <f>IF(17&lt;$D$11,0,$C$11*(1+Hipótesis!$D$12)*1)</f>
        <v/>
      </c>
      <c r="U34" s="23">
        <f>IF(18&lt;$D$11,0,$C$11*(1+Hipótesis!$D$12)*1.5)</f>
        <v/>
      </c>
      <c r="V34" s="23">
        <f>IF(19&lt;$D$11,0,$C$11*(1+Hipótesis!$D$12)*1)</f>
        <v/>
      </c>
      <c r="W34" s="23">
        <f>IF(20&lt;$D$11,0,$C$11*(1+Hipótesis!$D$12)*1)</f>
        <v/>
      </c>
      <c r="X34" s="23">
        <f>IF(21&lt;$D$11,0,$C$11*(1+Hipótesis!$D$12)*1)</f>
        <v/>
      </c>
      <c r="Y34" s="23">
        <f>IF(22&lt;$D$11,0,$C$11*(1+Hipótesis!$D$12)*1)</f>
        <v/>
      </c>
      <c r="Z34" s="23">
        <f>IF(23&lt;$D$11,0,$C$11*(1+Hipótesis!$D$12)*1)</f>
        <v/>
      </c>
      <c r="AA34" s="23">
        <f>IF(24&lt;$D$11,0,$C$11*(1+Hipótesis!$D$12)*1.5)</f>
        <v/>
      </c>
      <c r="AB34" s="24">
        <f>SUM(P34:AA34)</f>
        <v/>
      </c>
      <c r="AC34" s="23">
        <f>IF(25&lt;$D$11,0,$C$11*(1+Hipótesis!$D$12)*(1+Hipótesis!$E$12)*1)</f>
        <v/>
      </c>
      <c r="AD34" s="23">
        <f>IF(26&lt;$D$11,0,$C$11*(1+Hipótesis!$D$12)*(1+Hipótesis!$E$12)*1)</f>
        <v/>
      </c>
      <c r="AE34" s="23">
        <f>IF(27&lt;$D$11,0,$C$11*(1+Hipótesis!$D$12)*(1+Hipótesis!$E$12)*1)</f>
        <v/>
      </c>
      <c r="AF34" s="23">
        <f>IF(28&lt;$D$11,0,$C$11*(1+Hipótesis!$D$12)*(1+Hipótesis!$E$12)*1)</f>
        <v/>
      </c>
      <c r="AG34" s="23">
        <f>IF(29&lt;$D$11,0,$C$11*(1+Hipótesis!$D$12)*(1+Hipótesis!$E$12)*1)</f>
        <v/>
      </c>
      <c r="AH34" s="23">
        <f>IF(30&lt;$D$11,0,$C$11*(1+Hipótesis!$D$12)*(1+Hipótesis!$E$12)*1.5)</f>
        <v/>
      </c>
      <c r="AI34" s="23">
        <f>IF(31&lt;$D$11,0,$C$11*(1+Hipótesis!$D$12)*(1+Hipótesis!$E$12)*1)</f>
        <v/>
      </c>
      <c r="AJ34" s="23">
        <f>IF(32&lt;$D$11,0,$C$11*(1+Hipótesis!$D$12)*(1+Hipótesis!$E$12)*1)</f>
        <v/>
      </c>
      <c r="AK34" s="23">
        <f>IF(33&lt;$D$11,0,$C$11*(1+Hipótesis!$D$12)*(1+Hipótesis!$E$12)*1)</f>
        <v/>
      </c>
      <c r="AL34" s="23">
        <f>IF(34&lt;$D$11,0,$C$11*(1+Hipótesis!$D$12)*(1+Hipótesis!$E$12)*1)</f>
        <v/>
      </c>
      <c r="AM34" s="23">
        <f>IF(35&lt;$D$11,0,$C$11*(1+Hipótesis!$D$12)*(1+Hipótesis!$E$12)*1)</f>
        <v/>
      </c>
      <c r="AN34" s="23">
        <f>IF(36&lt;$D$11,0,$C$11*(1+Hipótesis!$D$12)*(1+Hipótesis!$E$12)*1.5)</f>
        <v/>
      </c>
      <c r="AO34" s="24">
        <f>SUM(AC34:AN34)</f>
        <v/>
      </c>
      <c r="AP34" s="23">
        <f>IF(37&lt;$D$11,0,$C$11*(1+Hipótesis!$D$12)*(1+Hipótesis!$E$12)*(1+Hipótesis!$F$12)*1)</f>
        <v/>
      </c>
      <c r="AQ34" s="23">
        <f>IF(38&lt;$D$11,0,$C$11*(1+Hipótesis!$D$12)*(1+Hipótesis!$E$12)*(1+Hipótesis!$F$12)*1)</f>
        <v/>
      </c>
      <c r="AR34" s="23">
        <f>IF(39&lt;$D$11,0,$C$11*(1+Hipótesis!$D$12)*(1+Hipótesis!$E$12)*(1+Hipótesis!$F$12)*1)</f>
        <v/>
      </c>
      <c r="AS34" s="23">
        <f>IF(40&lt;$D$11,0,$C$11*(1+Hipótesis!$D$12)*(1+Hipótesis!$E$12)*(1+Hipótesis!$F$12)*1)</f>
        <v/>
      </c>
      <c r="AT34" s="23">
        <f>IF(41&lt;$D$11,0,$C$11*(1+Hipótesis!$D$12)*(1+Hipótesis!$E$12)*(1+Hipótesis!$F$12)*1)</f>
        <v/>
      </c>
      <c r="AU34" s="23">
        <f>IF(42&lt;$D$11,0,$C$11*(1+Hipótesis!$D$12)*(1+Hipótesis!$E$12)*(1+Hipótesis!$F$12)*1.5)</f>
        <v/>
      </c>
      <c r="AV34" s="23">
        <f>IF(43&lt;$D$11,0,$C$11*(1+Hipótesis!$D$12)*(1+Hipótesis!$E$12)*(1+Hipótesis!$F$12)*1)</f>
        <v/>
      </c>
      <c r="AW34" s="23">
        <f>IF(44&lt;$D$11,0,$C$11*(1+Hipótesis!$D$12)*(1+Hipótesis!$E$12)*(1+Hipótesis!$F$12)*1)</f>
        <v/>
      </c>
      <c r="AX34" s="23">
        <f>IF(45&lt;$D$11,0,$C$11*(1+Hipótesis!$D$12)*(1+Hipótesis!$E$12)*(1+Hipótesis!$F$12)*1)</f>
        <v/>
      </c>
      <c r="AY34" s="23">
        <f>IF(46&lt;$D$11,0,$C$11*(1+Hipótesis!$D$12)*(1+Hipótesis!$E$12)*(1+Hipótesis!$F$12)*1)</f>
        <v/>
      </c>
      <c r="AZ34" s="23">
        <f>IF(47&lt;$D$11,0,$C$11*(1+Hipótesis!$D$12)*(1+Hipótesis!$E$12)*(1+Hipótesis!$F$12)*1)</f>
        <v/>
      </c>
      <c r="BA34" s="23">
        <f>IF(48&lt;$D$11,0,$C$11*(1+Hipótesis!$D$12)*(1+Hipótesis!$E$12)*(1+Hipótesis!$F$12)*1.5)</f>
        <v/>
      </c>
      <c r="BB34" s="24">
        <f>SUM(AP34:BA34)</f>
        <v/>
      </c>
    </row>
    <row r="35">
      <c r="B35" s="11" t="inlineStr">
        <is>
          <t>Colaborador de desarrollo</t>
        </is>
      </c>
      <c r="C35" s="23">
        <f>IF(1&lt;$D$12,0,$C$12*1*1)</f>
        <v/>
      </c>
      <c r="D35" s="23">
        <f>IF(2&lt;$D$12,0,$C$12*1*1)</f>
        <v/>
      </c>
      <c r="E35" s="23">
        <f>IF(3&lt;$D$12,0,$C$12*1*1)</f>
        <v/>
      </c>
      <c r="F35" s="23">
        <f>IF(4&lt;$D$12,0,$C$12*1*1)</f>
        <v/>
      </c>
      <c r="G35" s="23">
        <f>IF(5&lt;$D$12,0,$C$12*1*1)</f>
        <v/>
      </c>
      <c r="H35" s="23">
        <f>IF(6&lt;$D$12,0,$C$12*1*1.5)</f>
        <v/>
      </c>
      <c r="I35" s="23">
        <f>IF(7&lt;$D$12,0,$C$12*1*1)</f>
        <v/>
      </c>
      <c r="J35" s="23">
        <f>IF(8&lt;$D$12,0,$C$12*1*1)</f>
        <v/>
      </c>
      <c r="K35" s="23">
        <f>IF(9&lt;$D$12,0,$C$12*1*1)</f>
        <v/>
      </c>
      <c r="L35" s="23">
        <f>IF(10&lt;$D$12,0,$C$12*1*1)</f>
        <v/>
      </c>
      <c r="M35" s="23">
        <f>IF(11&lt;$D$12,0,$C$12*1*1)</f>
        <v/>
      </c>
      <c r="N35" s="23">
        <f>IF(12&lt;$D$12,0,$C$12*1*1.5)</f>
        <v/>
      </c>
      <c r="O35" s="24">
        <f>SUM(C35:N35)</f>
        <v/>
      </c>
      <c r="P35" s="23">
        <f>IF(13&lt;$D$12,0,$C$12*(1+Hipótesis!$D$12)*1)</f>
        <v/>
      </c>
      <c r="Q35" s="23">
        <f>IF(14&lt;$D$12,0,$C$12*(1+Hipótesis!$D$12)*1)</f>
        <v/>
      </c>
      <c r="R35" s="23">
        <f>IF(15&lt;$D$12,0,$C$12*(1+Hipótesis!$D$12)*1)</f>
        <v/>
      </c>
      <c r="S35" s="23">
        <f>IF(16&lt;$D$12,0,$C$12*(1+Hipótesis!$D$12)*1)</f>
        <v/>
      </c>
      <c r="T35" s="23">
        <f>IF(17&lt;$D$12,0,$C$12*(1+Hipótesis!$D$12)*1)</f>
        <v/>
      </c>
      <c r="U35" s="23">
        <f>IF(18&lt;$D$12,0,$C$12*(1+Hipótesis!$D$12)*1.5)</f>
        <v/>
      </c>
      <c r="V35" s="23">
        <f>IF(19&lt;$D$12,0,$C$12*(1+Hipótesis!$D$12)*1)</f>
        <v/>
      </c>
      <c r="W35" s="23">
        <f>IF(20&lt;$D$12,0,$C$12*(1+Hipótesis!$D$12)*1)</f>
        <v/>
      </c>
      <c r="X35" s="23">
        <f>IF(21&lt;$D$12,0,$C$12*(1+Hipótesis!$D$12)*1)</f>
        <v/>
      </c>
      <c r="Y35" s="23">
        <f>IF(22&lt;$D$12,0,$C$12*(1+Hipótesis!$D$12)*1)</f>
        <v/>
      </c>
      <c r="Z35" s="23">
        <f>IF(23&lt;$D$12,0,$C$12*(1+Hipótesis!$D$12)*1)</f>
        <v/>
      </c>
      <c r="AA35" s="23">
        <f>IF(24&lt;$D$12,0,$C$12*(1+Hipótesis!$D$12)*1.5)</f>
        <v/>
      </c>
      <c r="AB35" s="24">
        <f>SUM(P35:AA35)</f>
        <v/>
      </c>
      <c r="AC35" s="23">
        <f>IF(25&lt;$D$12,0,$C$12*(1+Hipótesis!$D$12)*(1+Hipótesis!$E$12)*1)</f>
        <v/>
      </c>
      <c r="AD35" s="23">
        <f>IF(26&lt;$D$12,0,$C$12*(1+Hipótesis!$D$12)*(1+Hipótesis!$E$12)*1)</f>
        <v/>
      </c>
      <c r="AE35" s="23">
        <f>IF(27&lt;$D$12,0,$C$12*(1+Hipótesis!$D$12)*(1+Hipótesis!$E$12)*1)</f>
        <v/>
      </c>
      <c r="AF35" s="23">
        <f>IF(28&lt;$D$12,0,$C$12*(1+Hipótesis!$D$12)*(1+Hipótesis!$E$12)*1)</f>
        <v/>
      </c>
      <c r="AG35" s="23">
        <f>IF(29&lt;$D$12,0,$C$12*(1+Hipótesis!$D$12)*(1+Hipótesis!$E$12)*1)</f>
        <v/>
      </c>
      <c r="AH35" s="23">
        <f>IF(30&lt;$D$12,0,$C$12*(1+Hipótesis!$D$12)*(1+Hipótesis!$E$12)*1.5)</f>
        <v/>
      </c>
      <c r="AI35" s="23">
        <f>IF(31&lt;$D$12,0,$C$12*(1+Hipótesis!$D$12)*(1+Hipótesis!$E$12)*1)</f>
        <v/>
      </c>
      <c r="AJ35" s="23">
        <f>IF(32&lt;$D$12,0,$C$12*(1+Hipótesis!$D$12)*(1+Hipótesis!$E$12)*1)</f>
        <v/>
      </c>
      <c r="AK35" s="23">
        <f>IF(33&lt;$D$12,0,$C$12*(1+Hipótesis!$D$12)*(1+Hipótesis!$E$12)*1)</f>
        <v/>
      </c>
      <c r="AL35" s="23">
        <f>IF(34&lt;$D$12,0,$C$12*(1+Hipótesis!$D$12)*(1+Hipótesis!$E$12)*1)</f>
        <v/>
      </c>
      <c r="AM35" s="23">
        <f>IF(35&lt;$D$12,0,$C$12*(1+Hipótesis!$D$12)*(1+Hipótesis!$E$12)*1)</f>
        <v/>
      </c>
      <c r="AN35" s="23">
        <f>IF(36&lt;$D$12,0,$C$12*(1+Hipótesis!$D$12)*(1+Hipótesis!$E$12)*1.5)</f>
        <v/>
      </c>
      <c r="AO35" s="24">
        <f>SUM(AC35:AN35)</f>
        <v/>
      </c>
      <c r="AP35" s="23">
        <f>IF(37&lt;$D$12,0,$C$12*(1+Hipótesis!$D$12)*(1+Hipótesis!$E$12)*(1+Hipótesis!$F$12)*1)</f>
        <v/>
      </c>
      <c r="AQ35" s="23">
        <f>IF(38&lt;$D$12,0,$C$12*(1+Hipótesis!$D$12)*(1+Hipótesis!$E$12)*(1+Hipótesis!$F$12)*1)</f>
        <v/>
      </c>
      <c r="AR35" s="23">
        <f>IF(39&lt;$D$12,0,$C$12*(1+Hipótesis!$D$12)*(1+Hipótesis!$E$12)*(1+Hipótesis!$F$12)*1)</f>
        <v/>
      </c>
      <c r="AS35" s="23">
        <f>IF(40&lt;$D$12,0,$C$12*(1+Hipótesis!$D$12)*(1+Hipótesis!$E$12)*(1+Hipótesis!$F$12)*1)</f>
        <v/>
      </c>
      <c r="AT35" s="23">
        <f>IF(41&lt;$D$12,0,$C$12*(1+Hipótesis!$D$12)*(1+Hipótesis!$E$12)*(1+Hipótesis!$F$12)*1)</f>
        <v/>
      </c>
      <c r="AU35" s="23">
        <f>IF(42&lt;$D$12,0,$C$12*(1+Hipótesis!$D$12)*(1+Hipótesis!$E$12)*(1+Hipótesis!$F$12)*1.5)</f>
        <v/>
      </c>
      <c r="AV35" s="23">
        <f>IF(43&lt;$D$12,0,$C$12*(1+Hipótesis!$D$12)*(1+Hipótesis!$E$12)*(1+Hipótesis!$F$12)*1)</f>
        <v/>
      </c>
      <c r="AW35" s="23">
        <f>IF(44&lt;$D$12,0,$C$12*(1+Hipótesis!$D$12)*(1+Hipótesis!$E$12)*(1+Hipótesis!$F$12)*1)</f>
        <v/>
      </c>
      <c r="AX35" s="23">
        <f>IF(45&lt;$D$12,0,$C$12*(1+Hipótesis!$D$12)*(1+Hipótesis!$E$12)*(1+Hipótesis!$F$12)*1)</f>
        <v/>
      </c>
      <c r="AY35" s="23">
        <f>IF(46&lt;$D$12,0,$C$12*(1+Hipótesis!$D$12)*(1+Hipótesis!$E$12)*(1+Hipótesis!$F$12)*1)</f>
        <v/>
      </c>
      <c r="AZ35" s="23">
        <f>IF(47&lt;$D$12,0,$C$12*(1+Hipótesis!$D$12)*(1+Hipótesis!$E$12)*(1+Hipótesis!$F$12)*1)</f>
        <v/>
      </c>
      <c r="BA35" s="23">
        <f>IF(48&lt;$D$12,0,$C$12*(1+Hipótesis!$D$12)*(1+Hipótesis!$E$12)*(1+Hipótesis!$F$12)*1.5)</f>
        <v/>
      </c>
      <c r="BB35" s="24">
        <f>SUM(AP35:BA35)</f>
        <v/>
      </c>
    </row>
    <row r="36">
      <c r="B36" s="11" t="inlineStr">
        <is>
          <t>Segundo colaborador de soporte</t>
        </is>
      </c>
      <c r="C36" s="23">
        <f>IF(1&lt;$D$13,0,$C$13*1*1)</f>
        <v/>
      </c>
      <c r="D36" s="23">
        <f>IF(2&lt;$D$13,0,$C$13*1*1)</f>
        <v/>
      </c>
      <c r="E36" s="23">
        <f>IF(3&lt;$D$13,0,$C$13*1*1)</f>
        <v/>
      </c>
      <c r="F36" s="23">
        <f>IF(4&lt;$D$13,0,$C$13*1*1)</f>
        <v/>
      </c>
      <c r="G36" s="23">
        <f>IF(5&lt;$D$13,0,$C$13*1*1)</f>
        <v/>
      </c>
      <c r="H36" s="23">
        <f>IF(6&lt;$D$13,0,$C$13*1*1.5)</f>
        <v/>
      </c>
      <c r="I36" s="23">
        <f>IF(7&lt;$D$13,0,$C$13*1*1)</f>
        <v/>
      </c>
      <c r="J36" s="23">
        <f>IF(8&lt;$D$13,0,$C$13*1*1)</f>
        <v/>
      </c>
      <c r="K36" s="23">
        <f>IF(9&lt;$D$13,0,$C$13*1*1)</f>
        <v/>
      </c>
      <c r="L36" s="23">
        <f>IF(10&lt;$D$13,0,$C$13*1*1)</f>
        <v/>
      </c>
      <c r="M36" s="23">
        <f>IF(11&lt;$D$13,0,$C$13*1*1)</f>
        <v/>
      </c>
      <c r="N36" s="23">
        <f>IF(12&lt;$D$13,0,$C$13*1*1.5)</f>
        <v/>
      </c>
      <c r="O36" s="24">
        <f>SUM(C36:N36)</f>
        <v/>
      </c>
      <c r="P36" s="23">
        <f>IF(13&lt;$D$13,0,$C$13*(1+Hipótesis!$D$12)*1)</f>
        <v/>
      </c>
      <c r="Q36" s="23">
        <f>IF(14&lt;$D$13,0,$C$13*(1+Hipótesis!$D$12)*1)</f>
        <v/>
      </c>
      <c r="R36" s="23">
        <f>IF(15&lt;$D$13,0,$C$13*(1+Hipótesis!$D$12)*1)</f>
        <v/>
      </c>
      <c r="S36" s="23">
        <f>IF(16&lt;$D$13,0,$C$13*(1+Hipótesis!$D$12)*1)</f>
        <v/>
      </c>
      <c r="T36" s="23">
        <f>IF(17&lt;$D$13,0,$C$13*(1+Hipótesis!$D$12)*1)</f>
        <v/>
      </c>
      <c r="U36" s="23">
        <f>IF(18&lt;$D$13,0,$C$13*(1+Hipótesis!$D$12)*1.5)</f>
        <v/>
      </c>
      <c r="V36" s="23">
        <f>IF(19&lt;$D$13,0,$C$13*(1+Hipótesis!$D$12)*1)</f>
        <v/>
      </c>
      <c r="W36" s="23">
        <f>IF(20&lt;$D$13,0,$C$13*(1+Hipótesis!$D$12)*1)</f>
        <v/>
      </c>
      <c r="X36" s="23">
        <f>IF(21&lt;$D$13,0,$C$13*(1+Hipótesis!$D$12)*1)</f>
        <v/>
      </c>
      <c r="Y36" s="23">
        <f>IF(22&lt;$D$13,0,$C$13*(1+Hipótesis!$D$12)*1)</f>
        <v/>
      </c>
      <c r="Z36" s="23">
        <f>IF(23&lt;$D$13,0,$C$13*(1+Hipótesis!$D$12)*1)</f>
        <v/>
      </c>
      <c r="AA36" s="23">
        <f>IF(24&lt;$D$13,0,$C$13*(1+Hipótesis!$D$12)*1.5)</f>
        <v/>
      </c>
      <c r="AB36" s="24">
        <f>SUM(P36:AA36)</f>
        <v/>
      </c>
      <c r="AC36" s="23">
        <f>IF(25&lt;$D$13,0,$C$13*(1+Hipótesis!$D$12)*(1+Hipótesis!$E$12)*1)</f>
        <v/>
      </c>
      <c r="AD36" s="23">
        <f>IF(26&lt;$D$13,0,$C$13*(1+Hipótesis!$D$12)*(1+Hipótesis!$E$12)*1)</f>
        <v/>
      </c>
      <c r="AE36" s="23">
        <f>IF(27&lt;$D$13,0,$C$13*(1+Hipótesis!$D$12)*(1+Hipótesis!$E$12)*1)</f>
        <v/>
      </c>
      <c r="AF36" s="23">
        <f>IF(28&lt;$D$13,0,$C$13*(1+Hipótesis!$D$12)*(1+Hipótesis!$E$12)*1)</f>
        <v/>
      </c>
      <c r="AG36" s="23">
        <f>IF(29&lt;$D$13,0,$C$13*(1+Hipótesis!$D$12)*(1+Hipótesis!$E$12)*1)</f>
        <v/>
      </c>
      <c r="AH36" s="23">
        <f>IF(30&lt;$D$13,0,$C$13*(1+Hipótesis!$D$12)*(1+Hipótesis!$E$12)*1.5)</f>
        <v/>
      </c>
      <c r="AI36" s="23">
        <f>IF(31&lt;$D$13,0,$C$13*(1+Hipótesis!$D$12)*(1+Hipótesis!$E$12)*1)</f>
        <v/>
      </c>
      <c r="AJ36" s="23">
        <f>IF(32&lt;$D$13,0,$C$13*(1+Hipótesis!$D$12)*(1+Hipótesis!$E$12)*1)</f>
        <v/>
      </c>
      <c r="AK36" s="23">
        <f>IF(33&lt;$D$13,0,$C$13*(1+Hipótesis!$D$12)*(1+Hipótesis!$E$12)*1)</f>
        <v/>
      </c>
      <c r="AL36" s="23">
        <f>IF(34&lt;$D$13,0,$C$13*(1+Hipótesis!$D$12)*(1+Hipótesis!$E$12)*1)</f>
        <v/>
      </c>
      <c r="AM36" s="23">
        <f>IF(35&lt;$D$13,0,$C$13*(1+Hipótesis!$D$12)*(1+Hipótesis!$E$12)*1)</f>
        <v/>
      </c>
      <c r="AN36" s="23">
        <f>IF(36&lt;$D$13,0,$C$13*(1+Hipótesis!$D$12)*(1+Hipótesis!$E$12)*1.5)</f>
        <v/>
      </c>
      <c r="AO36" s="24">
        <f>SUM(AC36:AN36)</f>
        <v/>
      </c>
      <c r="AP36" s="23">
        <f>IF(37&lt;$D$13,0,$C$13*(1+Hipótesis!$D$12)*(1+Hipótesis!$E$12)*(1+Hipótesis!$F$12)*1)</f>
        <v/>
      </c>
      <c r="AQ36" s="23">
        <f>IF(38&lt;$D$13,0,$C$13*(1+Hipótesis!$D$12)*(1+Hipótesis!$E$12)*(1+Hipótesis!$F$12)*1)</f>
        <v/>
      </c>
      <c r="AR36" s="23">
        <f>IF(39&lt;$D$13,0,$C$13*(1+Hipótesis!$D$12)*(1+Hipótesis!$E$12)*(1+Hipótesis!$F$12)*1)</f>
        <v/>
      </c>
      <c r="AS36" s="23">
        <f>IF(40&lt;$D$13,0,$C$13*(1+Hipótesis!$D$12)*(1+Hipótesis!$E$12)*(1+Hipótesis!$F$12)*1)</f>
        <v/>
      </c>
      <c r="AT36" s="23">
        <f>IF(41&lt;$D$13,0,$C$13*(1+Hipótesis!$D$12)*(1+Hipótesis!$E$12)*(1+Hipótesis!$F$12)*1)</f>
        <v/>
      </c>
      <c r="AU36" s="23">
        <f>IF(42&lt;$D$13,0,$C$13*(1+Hipótesis!$D$12)*(1+Hipótesis!$E$12)*(1+Hipótesis!$F$12)*1.5)</f>
        <v/>
      </c>
      <c r="AV36" s="23">
        <f>IF(43&lt;$D$13,0,$C$13*(1+Hipótesis!$D$12)*(1+Hipótesis!$E$12)*(1+Hipótesis!$F$12)*1)</f>
        <v/>
      </c>
      <c r="AW36" s="23">
        <f>IF(44&lt;$D$13,0,$C$13*(1+Hipótesis!$D$12)*(1+Hipótesis!$E$12)*(1+Hipótesis!$F$12)*1)</f>
        <v/>
      </c>
      <c r="AX36" s="23">
        <f>IF(45&lt;$D$13,0,$C$13*(1+Hipótesis!$D$12)*(1+Hipótesis!$E$12)*(1+Hipótesis!$F$12)*1)</f>
        <v/>
      </c>
      <c r="AY36" s="23">
        <f>IF(46&lt;$D$13,0,$C$13*(1+Hipótesis!$D$12)*(1+Hipótesis!$E$12)*(1+Hipótesis!$F$12)*1)</f>
        <v/>
      </c>
      <c r="AZ36" s="23">
        <f>IF(47&lt;$D$13,0,$C$13*(1+Hipótesis!$D$12)*(1+Hipótesis!$E$12)*(1+Hipótesis!$F$12)*1)</f>
        <v/>
      </c>
      <c r="BA36" s="23">
        <f>IF(48&lt;$D$13,0,$C$13*(1+Hipótesis!$D$12)*(1+Hipótesis!$E$12)*(1+Hipótesis!$F$12)*1.5)</f>
        <v/>
      </c>
      <c r="BB36" s="24">
        <f>SUM(AP36:BA36)</f>
        <v/>
      </c>
    </row>
    <row r="37">
      <c r="B37" s="16" t="inlineStr">
        <is>
          <t>Total de salarios brutos</t>
        </is>
      </c>
      <c r="C37" s="15">
        <f>SUM(C31:C36)</f>
        <v/>
      </c>
      <c r="D37" s="15">
        <f>SUM(D31:D36)</f>
        <v/>
      </c>
      <c r="E37" s="15">
        <f>SUM(E31:E36)</f>
        <v/>
      </c>
      <c r="F37" s="15">
        <f>SUM(F31:F36)</f>
        <v/>
      </c>
      <c r="G37" s="15">
        <f>SUM(G31:G36)</f>
        <v/>
      </c>
      <c r="H37" s="15">
        <f>SUM(H31:H36)</f>
        <v/>
      </c>
      <c r="I37" s="15">
        <f>SUM(I31:I36)</f>
        <v/>
      </c>
      <c r="J37" s="15">
        <f>SUM(J31:J36)</f>
        <v/>
      </c>
      <c r="K37" s="15">
        <f>SUM(K31:K36)</f>
        <v/>
      </c>
      <c r="L37" s="15">
        <f>SUM(L31:L36)</f>
        <v/>
      </c>
      <c r="M37" s="15">
        <f>SUM(M31:M36)</f>
        <v/>
      </c>
      <c r="N37" s="15">
        <f>SUM(N31:N36)</f>
        <v/>
      </c>
      <c r="O37" s="24">
        <f>SUM(C37:N37)</f>
        <v/>
      </c>
      <c r="P37" s="15">
        <f>SUM(P31:P36)</f>
        <v/>
      </c>
      <c r="Q37" s="15">
        <f>SUM(Q31:Q36)</f>
        <v/>
      </c>
      <c r="R37" s="15">
        <f>SUM(R31:R36)</f>
        <v/>
      </c>
      <c r="S37" s="15">
        <f>SUM(S31:S36)</f>
        <v/>
      </c>
      <c r="T37" s="15">
        <f>SUM(T31:T36)</f>
        <v/>
      </c>
      <c r="U37" s="15">
        <f>SUM(U31:U36)</f>
        <v/>
      </c>
      <c r="V37" s="15">
        <f>SUM(V31:V36)</f>
        <v/>
      </c>
      <c r="W37" s="15">
        <f>SUM(W31:W36)</f>
        <v/>
      </c>
      <c r="X37" s="15">
        <f>SUM(X31:X36)</f>
        <v/>
      </c>
      <c r="Y37" s="15">
        <f>SUM(Y31:Y36)</f>
        <v/>
      </c>
      <c r="Z37" s="15">
        <f>SUM(Z31:Z36)</f>
        <v/>
      </c>
      <c r="AA37" s="15">
        <f>SUM(AA31:AA36)</f>
        <v/>
      </c>
      <c r="AB37" s="24">
        <f>SUM(P37:AA37)</f>
        <v/>
      </c>
      <c r="AC37" s="15">
        <f>SUM(AC31:AC36)</f>
        <v/>
      </c>
      <c r="AD37" s="15">
        <f>SUM(AD31:AD36)</f>
        <v/>
      </c>
      <c r="AE37" s="15">
        <f>SUM(AE31:AE36)</f>
        <v/>
      </c>
      <c r="AF37" s="15">
        <f>SUM(AF31:AF36)</f>
        <v/>
      </c>
      <c r="AG37" s="15">
        <f>SUM(AG31:AG36)</f>
        <v/>
      </c>
      <c r="AH37" s="15">
        <f>SUM(AH31:AH36)</f>
        <v/>
      </c>
      <c r="AI37" s="15">
        <f>SUM(AI31:AI36)</f>
        <v/>
      </c>
      <c r="AJ37" s="15">
        <f>SUM(AJ31:AJ36)</f>
        <v/>
      </c>
      <c r="AK37" s="15">
        <f>SUM(AK31:AK36)</f>
        <v/>
      </c>
      <c r="AL37" s="15">
        <f>SUM(AL31:AL36)</f>
        <v/>
      </c>
      <c r="AM37" s="15">
        <f>SUM(AM31:AM36)</f>
        <v/>
      </c>
      <c r="AN37" s="15">
        <f>SUM(AN31:AN36)</f>
        <v/>
      </c>
      <c r="AO37" s="24">
        <f>SUM(AC37:AN37)</f>
        <v/>
      </c>
      <c r="AP37" s="15">
        <f>SUM(AP31:AP36)</f>
        <v/>
      </c>
      <c r="AQ37" s="15">
        <f>SUM(AQ31:AQ36)</f>
        <v/>
      </c>
      <c r="AR37" s="15">
        <f>SUM(AR31:AR36)</f>
        <v/>
      </c>
      <c r="AS37" s="15">
        <f>SUM(AS31:AS36)</f>
        <v/>
      </c>
      <c r="AT37" s="15">
        <f>SUM(AT31:AT36)</f>
        <v/>
      </c>
      <c r="AU37" s="15">
        <f>SUM(AU31:AU36)</f>
        <v/>
      </c>
      <c r="AV37" s="15">
        <f>SUM(AV31:AV36)</f>
        <v/>
      </c>
      <c r="AW37" s="15">
        <f>SUM(AW31:AW36)</f>
        <v/>
      </c>
      <c r="AX37" s="15">
        <f>SUM(AX31:AX36)</f>
        <v/>
      </c>
      <c r="AY37" s="15">
        <f>SUM(AY31:AY36)</f>
        <v/>
      </c>
      <c r="AZ37" s="15">
        <f>SUM(AZ31:AZ36)</f>
        <v/>
      </c>
      <c r="BA37" s="15">
        <f>SUM(BA31:BA36)</f>
        <v/>
      </c>
      <c r="BB37" s="24">
        <f>SUM(AP37:BA37)</f>
        <v/>
      </c>
    </row>
    <row r="38">
      <c r="B38" s="11" t="inlineStr">
        <is>
          <t xml:space="preserve">    Cargas sociales</t>
        </is>
      </c>
      <c r="C38" s="23">
        <f>C37*$C$26</f>
        <v/>
      </c>
      <c r="D38" s="23">
        <f>D37*$C$26</f>
        <v/>
      </c>
      <c r="E38" s="23">
        <f>E37*$C$26</f>
        <v/>
      </c>
      <c r="F38" s="23">
        <f>F37*$C$26</f>
        <v/>
      </c>
      <c r="G38" s="23">
        <f>G37*$C$26</f>
        <v/>
      </c>
      <c r="H38" s="23">
        <f>H37*$C$26</f>
        <v/>
      </c>
      <c r="I38" s="23">
        <f>I37*$C$26</f>
        <v/>
      </c>
      <c r="J38" s="23">
        <f>J37*$C$26</f>
        <v/>
      </c>
      <c r="K38" s="23">
        <f>K37*$C$26</f>
        <v/>
      </c>
      <c r="L38" s="23">
        <f>L37*$C$26</f>
        <v/>
      </c>
      <c r="M38" s="23">
        <f>M37*$C$26</f>
        <v/>
      </c>
      <c r="N38" s="23">
        <f>N37*$C$26</f>
        <v/>
      </c>
      <c r="O38" s="24">
        <f>SUM(C38:N38)</f>
        <v/>
      </c>
      <c r="P38" s="23">
        <f>P37*$C$26</f>
        <v/>
      </c>
      <c r="Q38" s="23">
        <f>Q37*$C$26</f>
        <v/>
      </c>
      <c r="R38" s="23">
        <f>R37*$C$26</f>
        <v/>
      </c>
      <c r="S38" s="23">
        <f>S37*$C$26</f>
        <v/>
      </c>
      <c r="T38" s="23">
        <f>T37*$C$26</f>
        <v/>
      </c>
      <c r="U38" s="23">
        <f>U37*$C$26</f>
        <v/>
      </c>
      <c r="V38" s="23">
        <f>V37*$C$26</f>
        <v/>
      </c>
      <c r="W38" s="23">
        <f>W37*$C$26</f>
        <v/>
      </c>
      <c r="X38" s="23">
        <f>X37*$C$26</f>
        <v/>
      </c>
      <c r="Y38" s="23">
        <f>Y37*$C$26</f>
        <v/>
      </c>
      <c r="Z38" s="23">
        <f>Z37*$C$26</f>
        <v/>
      </c>
      <c r="AA38" s="23">
        <f>AA37*$C$26</f>
        <v/>
      </c>
      <c r="AB38" s="24">
        <f>SUM(P38:AA38)</f>
        <v/>
      </c>
      <c r="AC38" s="23">
        <f>AC37*$C$26</f>
        <v/>
      </c>
      <c r="AD38" s="23">
        <f>AD37*$C$26</f>
        <v/>
      </c>
      <c r="AE38" s="23">
        <f>AE37*$C$26</f>
        <v/>
      </c>
      <c r="AF38" s="23">
        <f>AF37*$C$26</f>
        <v/>
      </c>
      <c r="AG38" s="23">
        <f>AG37*$C$26</f>
        <v/>
      </c>
      <c r="AH38" s="23">
        <f>AH37*$C$26</f>
        <v/>
      </c>
      <c r="AI38" s="23">
        <f>AI37*$C$26</f>
        <v/>
      </c>
      <c r="AJ38" s="23">
        <f>AJ37*$C$26</f>
        <v/>
      </c>
      <c r="AK38" s="23">
        <f>AK37*$C$26</f>
        <v/>
      </c>
      <c r="AL38" s="23">
        <f>AL37*$C$26</f>
        <v/>
      </c>
      <c r="AM38" s="23">
        <f>AM37*$C$26</f>
        <v/>
      </c>
      <c r="AN38" s="23">
        <f>AN37*$C$26</f>
        <v/>
      </c>
      <c r="AO38" s="24">
        <f>SUM(AC38:AN38)</f>
        <v/>
      </c>
      <c r="AP38" s="23">
        <f>AP37*$C$26</f>
        <v/>
      </c>
      <c r="AQ38" s="23">
        <f>AQ37*$C$26</f>
        <v/>
      </c>
      <c r="AR38" s="23">
        <f>AR37*$C$26</f>
        <v/>
      </c>
      <c r="AS38" s="23">
        <f>AS37*$C$26</f>
        <v/>
      </c>
      <c r="AT38" s="23">
        <f>AT37*$C$26</f>
        <v/>
      </c>
      <c r="AU38" s="23">
        <f>AU37*$C$26</f>
        <v/>
      </c>
      <c r="AV38" s="23">
        <f>AV37*$C$26</f>
        <v/>
      </c>
      <c r="AW38" s="23">
        <f>AW37*$C$26</f>
        <v/>
      </c>
      <c r="AX38" s="23">
        <f>AX37*$C$26</f>
        <v/>
      </c>
      <c r="AY38" s="23">
        <f>AY37*$C$26</f>
        <v/>
      </c>
      <c r="AZ38" s="23">
        <f>AZ37*$C$26</f>
        <v/>
      </c>
      <c r="BA38" s="23">
        <f>BA37*$C$26</f>
        <v/>
      </c>
      <c r="BB38" s="24">
        <f>SUM(AP38:BA38)</f>
        <v/>
      </c>
    </row>
    <row r="39">
      <c r="A39" s="16" t="inlineStr">
        <is>
          <t>TOTAL</t>
        </is>
      </c>
      <c r="B39" s="16" t="inlineStr">
        <is>
          <t>Costo total de RRHH</t>
        </is>
      </c>
      <c r="C39" s="15">
        <f>C37+C38</f>
        <v/>
      </c>
      <c r="D39" s="15">
        <f>D37+D38</f>
        <v/>
      </c>
      <c r="E39" s="15">
        <f>E37+E38</f>
        <v/>
      </c>
      <c r="F39" s="15">
        <f>F37+F38</f>
        <v/>
      </c>
      <c r="G39" s="15">
        <f>G37+G38</f>
        <v/>
      </c>
      <c r="H39" s="15">
        <f>H37+H38</f>
        <v/>
      </c>
      <c r="I39" s="15">
        <f>I37+I38</f>
        <v/>
      </c>
      <c r="J39" s="15">
        <f>J37+J38</f>
        <v/>
      </c>
      <c r="K39" s="15">
        <f>K37+K38</f>
        <v/>
      </c>
      <c r="L39" s="15">
        <f>L37+L38</f>
        <v/>
      </c>
      <c r="M39" s="15">
        <f>M37+M38</f>
        <v/>
      </c>
      <c r="N39" s="15">
        <f>N37+N38</f>
        <v/>
      </c>
      <c r="O39" s="24">
        <f>SUM(C39:N39)</f>
        <v/>
      </c>
      <c r="P39" s="15">
        <f>P37+P38</f>
        <v/>
      </c>
      <c r="Q39" s="15">
        <f>Q37+Q38</f>
        <v/>
      </c>
      <c r="R39" s="15">
        <f>R37+R38</f>
        <v/>
      </c>
      <c r="S39" s="15">
        <f>S37+S38</f>
        <v/>
      </c>
      <c r="T39" s="15">
        <f>T37+T38</f>
        <v/>
      </c>
      <c r="U39" s="15">
        <f>U37+U38</f>
        <v/>
      </c>
      <c r="V39" s="15">
        <f>V37+V38</f>
        <v/>
      </c>
      <c r="W39" s="15">
        <f>W37+W38</f>
        <v/>
      </c>
      <c r="X39" s="15">
        <f>X37+X38</f>
        <v/>
      </c>
      <c r="Y39" s="15">
        <f>Y37+Y38</f>
        <v/>
      </c>
      <c r="Z39" s="15">
        <f>Z37+Z38</f>
        <v/>
      </c>
      <c r="AA39" s="15">
        <f>AA37+AA38</f>
        <v/>
      </c>
      <c r="AB39" s="24">
        <f>SUM(P39:AA39)</f>
        <v/>
      </c>
      <c r="AC39" s="15">
        <f>AC37+AC38</f>
        <v/>
      </c>
      <c r="AD39" s="15">
        <f>AD37+AD38</f>
        <v/>
      </c>
      <c r="AE39" s="15">
        <f>AE37+AE38</f>
        <v/>
      </c>
      <c r="AF39" s="15">
        <f>AF37+AF38</f>
        <v/>
      </c>
      <c r="AG39" s="15">
        <f>AG37+AG38</f>
        <v/>
      </c>
      <c r="AH39" s="15">
        <f>AH37+AH38</f>
        <v/>
      </c>
      <c r="AI39" s="15">
        <f>AI37+AI38</f>
        <v/>
      </c>
      <c r="AJ39" s="15">
        <f>AJ37+AJ38</f>
        <v/>
      </c>
      <c r="AK39" s="15">
        <f>AK37+AK38</f>
        <v/>
      </c>
      <c r="AL39" s="15">
        <f>AL37+AL38</f>
        <v/>
      </c>
      <c r="AM39" s="15">
        <f>AM37+AM38</f>
        <v/>
      </c>
      <c r="AN39" s="15">
        <f>AN37+AN38</f>
        <v/>
      </c>
      <c r="AO39" s="24">
        <f>SUM(AC39:AN39)</f>
        <v/>
      </c>
      <c r="AP39" s="15">
        <f>AP37+AP38</f>
        <v/>
      </c>
      <c r="AQ39" s="15">
        <f>AQ37+AQ38</f>
        <v/>
      </c>
      <c r="AR39" s="15">
        <f>AR37+AR38</f>
        <v/>
      </c>
      <c r="AS39" s="15">
        <f>AS37+AS38</f>
        <v/>
      </c>
      <c r="AT39" s="15">
        <f>AT37+AT38</f>
        <v/>
      </c>
      <c r="AU39" s="15">
        <f>AU37+AU38</f>
        <v/>
      </c>
      <c r="AV39" s="15">
        <f>AV37+AV38</f>
        <v/>
      </c>
      <c r="AW39" s="15">
        <f>AW37+AW38</f>
        <v/>
      </c>
      <c r="AX39" s="15">
        <f>AX37+AX38</f>
        <v/>
      </c>
      <c r="AY39" s="15">
        <f>AY37+AY38</f>
        <v/>
      </c>
      <c r="AZ39" s="15">
        <f>AZ37+AZ38</f>
        <v/>
      </c>
      <c r="BA39" s="15">
        <f>BA37+BA38</f>
        <v/>
      </c>
      <c r="BB39" s="24">
        <f>SUM(AP39:BA39)</f>
        <v/>
      </c>
    </row>
    <row r="40">
      <c r="B40" s="11" t="inlineStr">
        <is>
          <t xml:space="preserve">    Personas en la plantilla</t>
        </is>
      </c>
      <c r="C40" s="23">
        <f>COUNTIF(C31:C36,"&gt;0")</f>
        <v/>
      </c>
      <c r="D40" s="23">
        <f>COUNTIF(D31:D36,"&gt;0")</f>
        <v/>
      </c>
      <c r="E40" s="23">
        <f>COUNTIF(E31:E36,"&gt;0")</f>
        <v/>
      </c>
      <c r="F40" s="23">
        <f>COUNTIF(F31:F36,"&gt;0")</f>
        <v/>
      </c>
      <c r="G40" s="23">
        <f>COUNTIF(G31:G36,"&gt;0")</f>
        <v/>
      </c>
      <c r="H40" s="23">
        <f>COUNTIF(H31:H36,"&gt;0")</f>
        <v/>
      </c>
      <c r="I40" s="23">
        <f>COUNTIF(I31:I36,"&gt;0")</f>
        <v/>
      </c>
      <c r="J40" s="23">
        <f>COUNTIF(J31:J36,"&gt;0")</f>
        <v/>
      </c>
      <c r="K40" s="23">
        <f>COUNTIF(K31:K36,"&gt;0")</f>
        <v/>
      </c>
      <c r="L40" s="23">
        <f>COUNTIF(L31:L36,"&gt;0")</f>
        <v/>
      </c>
      <c r="M40" s="23">
        <f>COUNTIF(M31:M36,"&gt;0")</f>
        <v/>
      </c>
      <c r="N40" s="23">
        <f>COUNTIF(N31:N36,"&gt;0")</f>
        <v/>
      </c>
      <c r="O40" s="24">
        <f>N40</f>
        <v/>
      </c>
      <c r="P40" s="23">
        <f>COUNTIF(P31:P36,"&gt;0")</f>
        <v/>
      </c>
      <c r="Q40" s="23">
        <f>COUNTIF(Q31:Q36,"&gt;0")</f>
        <v/>
      </c>
      <c r="R40" s="23">
        <f>COUNTIF(R31:R36,"&gt;0")</f>
        <v/>
      </c>
      <c r="S40" s="23">
        <f>COUNTIF(S31:S36,"&gt;0")</f>
        <v/>
      </c>
      <c r="T40" s="23">
        <f>COUNTIF(T31:T36,"&gt;0")</f>
        <v/>
      </c>
      <c r="U40" s="23">
        <f>COUNTIF(U31:U36,"&gt;0")</f>
        <v/>
      </c>
      <c r="V40" s="23">
        <f>COUNTIF(V31:V36,"&gt;0")</f>
        <v/>
      </c>
      <c r="W40" s="23">
        <f>COUNTIF(W31:W36,"&gt;0")</f>
        <v/>
      </c>
      <c r="X40" s="23">
        <f>COUNTIF(X31:X36,"&gt;0")</f>
        <v/>
      </c>
      <c r="Y40" s="23">
        <f>COUNTIF(Y31:Y36,"&gt;0")</f>
        <v/>
      </c>
      <c r="Z40" s="23">
        <f>COUNTIF(Z31:Z36,"&gt;0")</f>
        <v/>
      </c>
      <c r="AA40" s="23">
        <f>COUNTIF(AA31:AA36,"&gt;0")</f>
        <v/>
      </c>
      <c r="AB40" s="24">
        <f>AA40</f>
        <v/>
      </c>
      <c r="AC40" s="23">
        <f>COUNTIF(AC31:AC36,"&gt;0")</f>
        <v/>
      </c>
      <c r="AD40" s="23">
        <f>COUNTIF(AD31:AD36,"&gt;0")</f>
        <v/>
      </c>
      <c r="AE40" s="23">
        <f>COUNTIF(AE31:AE36,"&gt;0")</f>
        <v/>
      </c>
      <c r="AF40" s="23">
        <f>COUNTIF(AF31:AF36,"&gt;0")</f>
        <v/>
      </c>
      <c r="AG40" s="23">
        <f>COUNTIF(AG31:AG36,"&gt;0")</f>
        <v/>
      </c>
      <c r="AH40" s="23">
        <f>COUNTIF(AH31:AH36,"&gt;0")</f>
        <v/>
      </c>
      <c r="AI40" s="23">
        <f>COUNTIF(AI31:AI36,"&gt;0")</f>
        <v/>
      </c>
      <c r="AJ40" s="23">
        <f>COUNTIF(AJ31:AJ36,"&gt;0")</f>
        <v/>
      </c>
      <c r="AK40" s="23">
        <f>COUNTIF(AK31:AK36,"&gt;0")</f>
        <v/>
      </c>
      <c r="AL40" s="23">
        <f>COUNTIF(AL31:AL36,"&gt;0")</f>
        <v/>
      </c>
      <c r="AM40" s="23">
        <f>COUNTIF(AM31:AM36,"&gt;0")</f>
        <v/>
      </c>
      <c r="AN40" s="23">
        <f>COUNTIF(AN31:AN36,"&gt;0")</f>
        <v/>
      </c>
      <c r="AO40" s="24">
        <f>AN40</f>
        <v/>
      </c>
      <c r="AP40" s="23">
        <f>COUNTIF(AP31:AP36,"&gt;0")</f>
        <v/>
      </c>
      <c r="AQ40" s="23">
        <f>COUNTIF(AQ31:AQ36,"&gt;0")</f>
        <v/>
      </c>
      <c r="AR40" s="23">
        <f>COUNTIF(AR31:AR36,"&gt;0")</f>
        <v/>
      </c>
      <c r="AS40" s="23">
        <f>COUNTIF(AS31:AS36,"&gt;0")</f>
        <v/>
      </c>
      <c r="AT40" s="23">
        <f>COUNTIF(AT31:AT36,"&gt;0")</f>
        <v/>
      </c>
      <c r="AU40" s="23">
        <f>COUNTIF(AU31:AU36,"&gt;0")</f>
        <v/>
      </c>
      <c r="AV40" s="23">
        <f>COUNTIF(AV31:AV36,"&gt;0")</f>
        <v/>
      </c>
      <c r="AW40" s="23">
        <f>COUNTIF(AW31:AW36,"&gt;0")</f>
        <v/>
      </c>
      <c r="AX40" s="23">
        <f>COUNTIF(AX31:AX36,"&gt;0")</f>
        <v/>
      </c>
      <c r="AY40" s="23">
        <f>COUNTIF(AY31:AY36,"&gt;0")</f>
        <v/>
      </c>
      <c r="AZ40" s="23">
        <f>COUNTIF(AZ31:AZ36,"&gt;0")</f>
        <v/>
      </c>
      <c r="BA40" s="23">
        <f>COUNTIF(BA31:BA36,"&gt;0")</f>
        <v/>
      </c>
      <c r="BB40" s="24">
        <f>BA40</f>
        <v/>
      </c>
    </row>
  </sheetData>
  <mergeCells count="1">
    <mergeCell ref="B2:H2"/>
  </mergeCells>
  <hyperlinks>
    <hyperlink xmlns:r="http://schemas.openxmlformats.org/officeDocument/2006/relationships" ref="A1" r:id="rId1"/>
  </hyperlinks>
  <printOptions horizontalCentered="1"/>
  <pageMargins left="0.75" right="0.75" top="1" bottom="1" header="0.5" footer="0.5"/>
  <pageSetup orientation="landscape" paperSize="9" fitToHeight="1" fitToWidth="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2026-09-07T13:59:30Z</dcterms:created>
  <dcterms:modified xmlns:dcterms="http://purl.org/dc/terms/" xmlns:xsi="http://www.w3.org/2001/XMLSchema-instance" xsi:type="dcterms:W3CDTF">2026-09-07T16:17:43Z</dcterms:modified>
</cp:coreProperties>
</file>