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Hipótesis" sheetId="2" state="visible" r:id="rId2"/>
    <sheet xmlns:r="http://schemas.openxmlformats.org/officeDocument/2006/relationships" name="Planes" sheetId="3" state="visible" r:id="rId3"/>
    <sheet xmlns:r="http://schemas.openxmlformats.org/officeDocument/2006/relationships" name="Proyección de ventas" sheetId="4" state="visible" r:id="rId4"/>
    <sheet xmlns:r="http://schemas.openxmlformats.org/officeDocument/2006/relationships" name="Modelo de ingresos" sheetId="5" state="visible" r:id="rId5"/>
    <sheet xmlns:r="http://schemas.openxmlformats.org/officeDocument/2006/relationships" name="Modelo de Egresos" sheetId="6" state="visible" r:id="rId6"/>
    <sheet xmlns:r="http://schemas.openxmlformats.org/officeDocument/2006/relationships" name="Costos Fijos" sheetId="7" state="visible" r:id="rId7"/>
    <sheet xmlns:r="http://schemas.openxmlformats.org/officeDocument/2006/relationships" name="Costos Variables" sheetId="8" state="visible" r:id="rId8"/>
    <sheet xmlns:r="http://schemas.openxmlformats.org/officeDocument/2006/relationships" name="RRHH" sheetId="9" state="visible" r:id="rId9"/>
    <sheet xmlns:r="http://schemas.openxmlformats.org/officeDocument/2006/relationships" name="Gráficos" sheetId="10" state="visible" r:id="rId10"/>
  </sheets>
  <definedNames>
    <definedName name="_xlnm.Print_Titles" localSheetId="0">'Inicio'!$A:$B</definedName>
    <definedName name="_xlnm.Print_Titles" localSheetId="1">'Hipótesis'!$A:$B</definedName>
    <definedName name="_xlnm.Print_Titles" localSheetId="2">'Planes'!$A:$B</definedName>
    <definedName name="_xlnm.Print_Titles" localSheetId="3">'Proyección de ventas'!$A:$B</definedName>
    <definedName name="_xlnm.Print_Titles" localSheetId="4">'Modelo de ingresos'!$A:$B</definedName>
    <definedName name="_xlnm.Print_Titles" localSheetId="5">'Modelo de Egresos'!$A:$B</definedName>
    <definedName name="_xlnm.Print_Titles" localSheetId="6">'Costos Fijos'!$A:$B</definedName>
    <definedName name="_xlnm.Print_Titles" localSheetId="7">'Costos Variables'!$A:$B</definedName>
    <definedName name="_xlnm.Print_Titles" localSheetId="8">'RRHH'!$A:$B</definedName>
    <definedName name="_xlnm.Print_Titles" localSheetId="9">'Gráficos'!$A:$B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1F4E5F"/>
      <sz val="18"/>
    </font>
    <font>
      <name val="Calibri"/>
      <color rgb="00595959"/>
      <sz val="11"/>
    </font>
    <font>
      <name val="Calibri"/>
      <i val="1"/>
      <color rgb="00808080"/>
      <sz val="9"/>
    </font>
    <font>
      <name val="Calibri"/>
      <b val="1"/>
      <color rgb="007F6000"/>
      <sz val="10"/>
    </font>
    <font>
      <name val="Calibri"/>
      <b val="1"/>
      <color rgb="001F4E5F"/>
      <sz val="11"/>
    </font>
    <font>
      <name val="Calibri"/>
      <color rgb="000563C1"/>
      <sz val="10"/>
      <u val="single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5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vertical="center" indent="1"/>
    </xf>
    <xf numFmtId="0" fontId="5" fillId="6" borderId="0" pivotButton="0" quotePrefix="0" xfId="0"/>
    <xf numFmtId="0" fontId="0" fillId="6" borderId="0" pivotButton="0" quotePrefix="0" xfId="0"/>
    <xf numFmtId="0" fontId="9" fillId="4" borderId="0" applyAlignment="1" pivotButton="0" quotePrefix="0" xfId="0">
      <alignment horizontal="center"/>
    </xf>
    <xf numFmtId="0" fontId="9" fillId="4" borderId="0" pivotButton="0" quotePrefix="0" xfId="0"/>
    <xf numFmtId="0" fontId="10" fillId="0" borderId="0" pivotButton="0" quotePrefix="0" xfId="0"/>
    <xf numFmtId="164" fontId="10" fillId="2" borderId="1" pivotButton="0" quotePrefix="0" xfId="0"/>
    <xf numFmtId="3" fontId="10" fillId="2" borderId="1" pivotButton="0" quotePrefix="0" xfId="0"/>
    <xf numFmtId="164" fontId="10" fillId="0" borderId="0" pivotButton="0" quotePrefix="0" xfId="0"/>
    <xf numFmtId="165" fontId="10" fillId="2" borderId="1" pivotButton="0" quotePrefix="0" xfId="0"/>
    <xf numFmtId="3" fontId="9" fillId="0" borderId="0" pivotButton="0" quotePrefix="0" xfId="0"/>
    <xf numFmtId="0" fontId="3" fillId="6" borderId="0" pivotButton="0" quotePrefix="0" xfId="0"/>
    <xf numFmtId="0" fontId="9" fillId="0" borderId="0" pivotButton="0" quotePrefix="0" xfId="0"/>
    <xf numFmtId="10" fontId="9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164" fontId="9" fillId="0" borderId="0" pivotButton="0" quotePrefix="0" xfId="0"/>
    <xf numFmtId="0" fontId="3" fillId="0" borderId="0" applyAlignment="1" pivotButton="0" quotePrefix="0" xfId="0">
      <alignment vertical="top" wrapText="1"/>
    </xf>
    <xf numFmtId="165" fontId="10" fillId="0" borderId="0" pivotButton="0" quotePrefix="0" xfId="0"/>
    <xf numFmtId="0" fontId="9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3" fontId="10" fillId="0" borderId="0" pivotButton="0" quotePrefix="0" xfId="0"/>
    <xf numFmtId="3" fontId="9" fillId="5" borderId="0" pivotButton="0" quotePrefix="0" xfId="0"/>
    <xf numFmtId="165" fontId="9" fillId="5" borderId="0" pivotButton="0" quotePrefix="0" xfId="0"/>
    <xf numFmtId="165" fontId="9" fillId="0" borderId="0" pivotButton="0" quotePrefix="0" xfId="0"/>
    <xf numFmtId="3" fontId="0" fillId="0" borderId="0" pivotButton="0" quotePrefix="0" xfId="0"/>
    <xf numFmtId="165" fontId="9" fillId="6" borderId="0" pivotButton="0" quotePrefix="0" xfId="0"/>
    <xf numFmtId="3" fontId="0" fillId="6" borderId="0" pivotButton="0" quotePrefix="0" xfId="0"/>
    <xf numFmtId="164" fontId="10" fillId="6" borderId="0" pivotButton="0" quotePrefix="0" xfId="0"/>
    <xf numFmtId="10" fontId="10" fillId="0" borderId="0" pivotButton="0" quotePrefix="0" xfId="0"/>
    <xf numFmtId="0" fontId="10" fillId="0" borderId="0" applyAlignment="1" pivotButton="0" quotePrefix="0" xfId="0">
      <alignment horizontal="center"/>
    </xf>
    <xf numFmtId="10" fontId="10" fillId="2" borderId="1" pivotButton="0" quotePrefix="0" xfId="0"/>
    <xf numFmtId="0" fontId="9" fillId="4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top" wrapText="1"/>
    </xf>
    <xf numFmtId="2" fontId="10" fillId="2" borderId="1" pivotButton="0" quotePrefix="0" xfId="0"/>
    <xf numFmtId="0" fontId="11" fillId="3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Cartera al cierre, por segmento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'Proyección de ventas'!Q6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'Proyección de ventas'!$R$5:$U$5</f>
            </numRef>
          </cat>
          <val>
            <numRef>
              <f>'Proyección de ventas'!$R$6:$U$6</f>
            </numRef>
          </val>
        </ser>
        <ser>
          <idx val="1"/>
          <order val="1"/>
          <tx>
            <strRef>
              <f>'Proyección de ventas'!Q7</f>
            </strRef>
          </tx>
          <spPr>
            <a:ln xmlns:a="http://schemas.openxmlformats.org/drawingml/2006/main">
              <a:prstDash val="solid"/>
            </a:ln>
          </spPr>
          <cat>
            <numRef>
              <f>'Proyección de ventas'!$R$5:$U$5</f>
            </numRef>
          </cat>
          <val>
            <numRef>
              <f>'Proyección de ventas'!$R$7:$U$7</f>
            </numRef>
          </val>
        </ser>
        <ser>
          <idx val="2"/>
          <order val="2"/>
          <tx>
            <strRef>
              <f>'Proyección de ventas'!Q8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'Proyección de ventas'!$R$5:$U$5</f>
            </numRef>
          </cat>
          <val>
            <numRef>
              <f>'Proyección de ventas'!$R$8:$U$8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del año, por plan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'Modelo de ingresos'!Q6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'Modelo de ingresos'!$R$5:$U$5</f>
            </numRef>
          </cat>
          <val>
            <numRef>
              <f>'Modelo de ingresos'!$R$6:$U$6</f>
            </numRef>
          </val>
        </ser>
        <ser>
          <idx val="1"/>
          <order val="1"/>
          <tx>
            <strRef>
              <f>'Modelo de ingresos'!Q7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'Modelo de ingresos'!$R$5:$U$5</f>
            </numRef>
          </cat>
          <val>
            <numRef>
              <f>'Modelo de ingresos'!$R$7:$U$7</f>
            </numRef>
          </val>
        </ser>
        <ser>
          <idx val="2"/>
          <order val="2"/>
          <tx>
            <strRef>
              <f>'Modelo de ingresos'!Q8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'Modelo de ingresos'!$R$5:$U$5</f>
            </numRef>
          </cat>
          <val>
            <numRef>
              <f>'Modelo de ingresos'!$R$8:$U$8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 los egresos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'Modelo de Egresos'!Q6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'Modelo de Egresos'!$R$5:$U$5</f>
            </numRef>
          </cat>
          <val>
            <numRef>
              <f>'Modelo de Egresos'!$R$6:$U$6</f>
            </numRef>
          </val>
        </ser>
        <ser>
          <idx val="1"/>
          <order val="1"/>
          <tx>
            <strRef>
              <f>'Modelo de Egresos'!Q7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'Modelo de Egresos'!$R$5:$U$5</f>
            </numRef>
          </cat>
          <val>
            <numRef>
              <f>'Modelo de Egresos'!$R$7:$U$7</f>
            </numRef>
          </val>
        </ser>
        <ser>
          <idx val="2"/>
          <order val="2"/>
          <tx>
            <strRef>
              <f>'Modelo de Egresos'!Q8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'Modelo de Egresos'!$R$5:$U$5</f>
            </numRef>
          </cat>
          <val>
            <numRef>
              <f>'Modelo de Egresos'!$R$8:$U$8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Costos fijos del año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'Costos Fijos'!Q6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'Costos Fijos'!$R$5:$U$5</f>
            </numRef>
          </cat>
          <val>
            <numRef>
              <f>'Costos Fijos'!$R$6:$U$6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variable por componente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'Costos Variables'!Q6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'Costos Variables'!$R$5:$U$5</f>
            </numRef>
          </cat>
          <val>
            <numRef>
              <f>'Costos Variables'!$R$6:$U$6</f>
            </numRef>
          </val>
        </ser>
        <ser>
          <idx val="1"/>
          <order val="1"/>
          <tx>
            <strRef>
              <f>'Costos Variables'!Q7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'Costos Variables'!$R$5:$U$5</f>
            </numRef>
          </cat>
          <val>
            <numRef>
              <f>'Costos Variables'!$R$7:$U$7</f>
            </numRef>
          </val>
        </ser>
        <ser>
          <idx val="2"/>
          <order val="2"/>
          <tx>
            <strRef>
              <f>'Costos Variables'!Q8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'Costos Variables'!$R$5:$U$5</f>
            </numRef>
          </cat>
          <val>
            <numRef>
              <f>'Costos Variables'!$R$8:$U$8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de personal: sueldos y cargas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'RRHH'!Q6</f>
            </strRef>
          </tx>
          <spPr>
            <a:ln xmlns:a="http://schemas.openxmlformats.org/drawingml/2006/main">
              <a:prstDash val="solid"/>
            </a:ln>
          </spPr>
          <cat>
            <numRef>
              <f>'RRHH'!$R$5:$U$5</f>
            </numRef>
          </cat>
          <val>
            <numRef>
              <f>'RRHH'!$R$6:$U$6</f>
            </numRef>
          </val>
        </ser>
        <ser>
          <idx val="1"/>
          <order val="1"/>
          <tx>
            <strRef>
              <f>'RRHH'!Q7</f>
            </strRef>
          </tx>
          <spPr>
            <a:ln xmlns:a="http://schemas.openxmlformats.org/drawingml/2006/main">
              <a:prstDash val="solid"/>
            </a:ln>
          </spPr>
          <cat>
            <numRef>
              <f>'RRHH'!$R$5:$U$5</f>
            </numRef>
          </cat>
          <val>
            <numRef>
              <f>'RRHH'!$R$7:$U$7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Personas en la plantilla al cierre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'RRHH'!Q9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'RRHH'!$R$5:$U$5</f>
            </numRef>
          </cat>
          <val>
            <numRef>
              <f>'RRHH'!$R$9:$U$9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contra egresos, por año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'Gráficos'!B7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'Gráficos'!$C$7:$F$7</f>
            </numRef>
          </val>
        </ser>
        <ser>
          <idx val="1"/>
          <order val="1"/>
          <tx>
            <strRef>
              <f>'Gráficos'!B8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 operativo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'Gráficos'!B9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'Gráficos'!$C$9:$F$9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Composición de los egresos</a:t>
            </a:r>
          </a:p>
        </rich>
      </tx>
    </title>
    <plotArea>
      <barChart>
        <barDir val="col"/>
        <grouping val="stacked"/>
        <varyColors val="0"/>
        <ser>
          <idx val="0"/>
          <order val="0"/>
          <tx>
            <strRef>
              <f>'Gráficos'!B10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'Gráficos'!$C$10:$F$10</f>
            </numRef>
          </val>
        </ser>
        <ser>
          <idx val="1"/>
          <order val="1"/>
          <tx>
            <strRef>
              <f>'Gráficos'!B11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'Gráficos'!$C$11:$F$11</f>
            </numRef>
          </val>
        </ser>
        <ser>
          <idx val="2"/>
          <order val="2"/>
          <tx>
            <strRef>
              <f>'Gráficos'!B12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'Gráficos'!$C$12:$F$12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Clientes y equipos administrados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'Gráficos'!B13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'Gráficos'!$C$6:$F$6</f>
            </numRef>
          </cat>
          <val>
            <numRef>
              <f>'Gráficos'!$C$13:$F$13</f>
            </numRef>
          </val>
        </ser>
        <ser>
          <idx val="1"/>
          <order val="1"/>
          <tx>
            <strRef>
              <f>'Gráficos'!B14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'Gráficos'!$C$6:$F$6</f>
            </numRef>
          </cat>
          <val>
            <numRef>
              <f>'Gráficos'!$C$14:$F$14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Plantilla contra cartera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'Gráficos'!B15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'Gráficos'!$C$15:$F$15</f>
            </numRef>
          </val>
        </ser>
        <ser>
          <idx val="1"/>
          <order val="1"/>
          <tx>
            <strRef>
              <f>'Gráficos'!B13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'Gráficos'!$C$6:$F$6</f>
            </numRef>
          </cat>
          <val>
            <numRef>
              <f>'Gráficos'!$C$13:$F$13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/Relationships>
</file>

<file path=xl/drawings/drawing1.xml><?xml version="1.0" encoding="utf-8"?>
<wsDr xmlns="http://schemas.openxmlformats.org/drawingml/2006/spreadsheetDrawing">
  <oneCellAnchor>
    <from>
      <col>16</col>
      <colOff>0</colOff>
      <row>10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10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10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8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16</col>
      <colOff>0</colOff>
      <row>10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16</col>
      <colOff>0</colOff>
      <row>9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25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4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40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4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18</col>
      <colOff>0</colOff>
      <row>22</row>
      <rowOff>0</rowOff>
    </from>
    <ext cx="612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ip&#243;tesis'!A1" TargetMode="External" Id="rId1"/><Relationship Type="http://schemas.openxmlformats.org/officeDocument/2006/relationships/hyperlink" Target="#'Planes'!A1" TargetMode="External" Id="rId2"/><Relationship Type="http://schemas.openxmlformats.org/officeDocument/2006/relationships/hyperlink" Target="#'Proyecci&#243;n de ventas'!A1" TargetMode="External" Id="rId3"/><Relationship Type="http://schemas.openxmlformats.org/officeDocument/2006/relationships/hyperlink" Target="#'Modelo de ingresos'!A1" TargetMode="External" Id="rId4"/><Relationship Type="http://schemas.openxmlformats.org/officeDocument/2006/relationships/hyperlink" Target="#'Modelo de Egresos'!A1" TargetMode="External" Id="rId5"/><Relationship Type="http://schemas.openxmlformats.org/officeDocument/2006/relationships/hyperlink" Target="#'Costos Fijos'!A1" TargetMode="External" Id="rId6"/><Relationship Type="http://schemas.openxmlformats.org/officeDocument/2006/relationships/hyperlink" Target="#'Costos Variables'!A1" TargetMode="External" Id="rId7"/><Relationship Type="http://schemas.openxmlformats.org/officeDocument/2006/relationships/hyperlink" Target="#'RRHH'!A1" TargetMode="External" Id="rId8"/><Relationship Type="http://schemas.openxmlformats.org/officeDocument/2006/relationships/hyperlink" Target="#'Gr&#225;ficos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3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4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5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6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Inicio'!A1" TargetMode="External" Id="rId1"/><Relationship Type="http://schemas.openxmlformats.org/officeDocument/2006/relationships/drawing" Target="/xl/drawings/drawing7.xml" Id="rId2"/></Relationships>
</file>

<file path=xl/worksheets/sheet1.xml><?xml version="1.0" encoding="utf-8"?>
<worksheet xmlns="http://schemas.openxmlformats.org/spreadsheetml/2006/main">
  <sheetPr>
    <tabColor rgb="001F4E5F"/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</cols>
  <sheetData>
    <row r="1"/>
    <row r="2">
      <c r="B2" s="1" t="inlineStr">
        <is>
          <t>PRESUPUESTO FINANCIERO — PredictIT · Entrega 1</t>
        </is>
      </c>
    </row>
    <row r="3"/>
    <row r="4">
      <c r="B4" s="2" t="inlineStr">
        <is>
          <t>Sistema de mantenimiento predictivo de equipos informáticos</t>
        </is>
      </c>
    </row>
    <row r="5">
      <c r="B5" s="3" t="inlineStr">
        <is>
          <t>Trabajo Final de Ingeniería · UAI · Pettini, Patricio Ezequiel — Legajo B00072710-T1</t>
        </is>
      </c>
    </row>
    <row r="6">
      <c r="B6" s="3" t="inlineStr">
        <is>
          <t>Horizonte: 2027 a 2030, mensual · Generado el 17/09/2026</t>
        </is>
      </c>
    </row>
    <row r="7"/>
    <row r="8">
      <c r="B8" s="4" t="inlineStr">
        <is>
          <t>Las celdas amarillas son supuestos que se pueden cambiar. Todo lo demás se calcula.</t>
        </is>
      </c>
    </row>
    <row r="9"/>
    <row r="10">
      <c r="B10" s="5" t="inlineStr">
        <is>
          <t>Contenido</t>
        </is>
      </c>
    </row>
    <row r="11">
      <c r="B11" s="6" t="inlineStr">
        <is>
          <t>Hipótesis</t>
        </is>
      </c>
      <c r="C11" s="3" t="inlineStr">
        <is>
          <t>Supuestos macro, mercado meta, embudo comercial y retención</t>
        </is>
      </c>
    </row>
    <row r="12">
      <c r="B12" s="6" t="inlineStr">
        <is>
          <t>Planes</t>
        </is>
      </c>
      <c r="C12" s="3" t="inlineStr">
        <is>
          <t>Líneas de servicio: precio, equipos incluidos y costo variable unitario</t>
        </is>
      </c>
    </row>
    <row r="13">
      <c r="B13" s="6" t="inlineStr">
        <is>
          <t>Proyección de ventas</t>
        </is>
      </c>
      <c r="C13" s="3" t="inlineStr">
        <is>
          <t>Altas, bajas y base activa de clientes por línea, mes a mes</t>
        </is>
      </c>
    </row>
    <row r="14">
      <c r="B14" s="6" t="inlineStr">
        <is>
          <t>Modelo de ingresos</t>
        </is>
      </c>
      <c r="C14" s="3" t="inlineStr">
        <is>
          <t>Facturación por línea de servicio</t>
        </is>
      </c>
    </row>
    <row r="15">
      <c r="B15" s="6" t="inlineStr">
        <is>
          <t>Modelo de Egresos</t>
        </is>
      </c>
      <c r="C15" s="3" t="inlineStr">
        <is>
          <t>Consolidado de las tres estructuras de costo</t>
        </is>
      </c>
    </row>
    <row r="16">
      <c r="B16" s="6" t="inlineStr">
        <is>
          <t>Costos Fijos</t>
        </is>
      </c>
      <c r="C16" s="3" t="inlineStr">
        <is>
          <t>Costos que no dependen del volumen</t>
        </is>
      </c>
    </row>
    <row r="17">
      <c r="B17" s="6" t="inlineStr">
        <is>
          <t>Costos Variables</t>
        </is>
      </c>
      <c r="C17" s="3" t="inlineStr">
        <is>
          <t>Costos que se mueven con cada cliente</t>
        </is>
      </c>
    </row>
    <row r="18">
      <c r="B18" s="6" t="inlineStr">
        <is>
          <t>RRHH</t>
        </is>
      </c>
      <c r="C18" s="3" t="inlineStr">
        <is>
          <t>Sueldos, cargas sociales y evolución de la plantilla</t>
        </is>
      </c>
    </row>
    <row r="19">
      <c r="B19" s="6" t="n"/>
      <c r="C19" s="3" t="n"/>
    </row>
    <row r="20">
      <c r="B20" s="6" t="n"/>
      <c r="C20" s="3" t="n"/>
    </row>
    <row r="21">
      <c r="B21" s="6" t="n"/>
      <c r="C21" s="3" t="n"/>
    </row>
    <row r="22">
      <c r="B22" s="6" t="n"/>
      <c r="C22" s="3" t="n"/>
    </row>
    <row r="23">
      <c r="B23" s="6" t="inlineStr">
        <is>
          <t>Gráficos</t>
        </is>
      </c>
      <c r="C23" s="3" t="inlineStr">
        <is>
          <t>La operación en cuatro imágenes</t>
        </is>
      </c>
    </row>
    <row r="24">
      <c r="B24" s="6" t="n"/>
      <c r="C24" s="3" t="n"/>
    </row>
    <row r="25">
      <c r="B25" s="46" t="inlineStr">
        <is>
          <t>Primera entrega de negocio: llega hasta los costos de recursos humanos.</t>
        </is>
      </c>
      <c r="C25" s="3" t="n"/>
    </row>
    <row r="26">
      <c r="B26" s="6" t="n"/>
      <c r="C26" s="3" t="n"/>
    </row>
    <row r="27">
      <c r="B27" s="6" t="n"/>
      <c r="C27" s="3" t="n"/>
    </row>
    <row r="28">
      <c r="B28" s="6" t="n"/>
      <c r="C28" s="3" t="n"/>
    </row>
    <row r="29">
      <c r="B29" s="6" t="n"/>
      <c r="C29" s="3" t="n"/>
    </row>
    <row r="30">
      <c r="B30" s="6" t="n"/>
      <c r="C30" s="3" t="n"/>
    </row>
  </sheetData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23" r:id="rId9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H5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7" t="inlineStr">
        <is>
          <t>« Inicio</t>
        </is>
      </c>
    </row>
    <row r="2" ht="24" customHeight="1">
      <c r="B2" s="8" t="inlineStr">
        <is>
          <t>HIPÓTESIS</t>
        </is>
      </c>
    </row>
    <row r="3">
      <c r="B3" s="3" t="inlineStr">
        <is>
          <t>Cada variable necesita valor, fuente y justificación. Las celdas amarillas son las que se cargan a mano.</t>
        </is>
      </c>
    </row>
    <row r="4"/>
    <row r="5"/>
    <row r="6">
      <c r="B6" s="9" t="inlineStr">
        <is>
          <t>Supuestos macroeconómicos</t>
        </is>
      </c>
      <c r="C6" s="10" t="n"/>
      <c r="D6" s="10" t="n"/>
      <c r="E6" s="10" t="n"/>
      <c r="F6" s="10" t="n"/>
      <c r="G6" s="10" t="n"/>
      <c r="H6" s="10" t="n"/>
    </row>
    <row r="7">
      <c r="C7" s="11" t="n">
        <v>2027</v>
      </c>
      <c r="D7" s="11" t="n">
        <v>2028</v>
      </c>
      <c r="E7" s="11" t="n">
        <v>2029</v>
      </c>
      <c r="F7" s="11" t="n">
        <v>2030</v>
      </c>
      <c r="H7" s="12" t="inlineStr">
        <is>
          <t>Fuente y justificación</t>
        </is>
      </c>
    </row>
    <row r="8">
      <c r="B8" s="13" t="inlineStr">
        <is>
          <t>Inflación anual proyectada</t>
        </is>
      </c>
      <c r="C8" s="14" t="n">
        <v>0.205</v>
      </c>
      <c r="D8" s="14" t="n">
        <v>0.141</v>
      </c>
      <c r="E8" s="14" t="n">
        <v>0.12</v>
      </c>
      <c r="F8" s="14" t="n">
        <v>0.1</v>
      </c>
      <c r="H8" s="3" t="inlineStr">
        <is>
          <t>REM del BCRA, agosto de 2026 (mediana): 20,5 % para 2027 y 14,1 % para 2028. 2029 y 2030 son extrapolación propia de esa senda: el REM llega a tres períodos anuales</t>
        </is>
      </c>
    </row>
    <row r="9">
      <c r="B9" s="13" t="inlineStr">
        <is>
          <t>Tipo de cambio promedio (ARS/USD)</t>
        </is>
      </c>
      <c r="C9" s="15" t="n">
        <v>1800</v>
      </c>
      <c r="D9" s="15" t="n">
        <v>2050</v>
      </c>
      <c r="E9" s="15" t="n">
        <v>2300</v>
      </c>
      <c r="F9" s="15" t="n">
        <v>2530</v>
      </c>
      <c r="H9" s="3" t="inlineStr">
        <is>
          <t>REM del BCRA, agosto de 2026 (mediana): 1.661 $/USD en ene-27 y 1.844 a doce meses. El promedio de 2027 sale de esa senda; de 2028 en adelante acompaña a la inflación</t>
        </is>
      </c>
    </row>
    <row r="10">
      <c r="B10" s="13" t="inlineStr">
        <is>
          <t>Tasa de interés de referencia</t>
        </is>
      </c>
      <c r="C10" s="14" t="n">
        <v>0.21</v>
      </c>
      <c r="D10" s="14" t="n">
        <v>0.16</v>
      </c>
      <c r="E10" s="14" t="n">
        <v>0.135</v>
      </c>
      <c r="F10" s="14" t="n">
        <v>0.12</v>
      </c>
      <c r="H10" s="3" t="inlineStr">
        <is>
          <t>REM del BCRA, agosto de 2026: TAMAR de bancos privados 23,45 % TNA a dic-26. El promedio de 2027 sale de continuar esa baja; de 2028 en adelante, extrapolación propia</t>
        </is>
      </c>
    </row>
    <row r="11">
      <c r="B11" s="13" t="inlineStr">
        <is>
          <t>Puntos de precio de lista sobre la inflación</t>
        </is>
      </c>
      <c r="C11" s="14" t="n">
        <v>0.03</v>
      </c>
      <c r="D11" s="14" t="n">
        <v>0.03</v>
      </c>
      <c r="E11" s="14" t="n">
        <v>0.03</v>
      </c>
      <c r="F11" s="14" t="n">
        <v>0.03</v>
      </c>
      <c r="H11" s="3" t="inlineStr">
        <is>
          <t>Política propia: la lista se revisa por trimestre y se ubica 3 puntos por encima de la inflación proyectada, para que el precio real no se licúe</t>
        </is>
      </c>
    </row>
    <row r="12">
      <c r="B12" s="13" t="inlineStr">
        <is>
          <t>Aumento anual de precios de lista</t>
        </is>
      </c>
      <c r="C12" s="16">
        <f>$C$8+$C$11</f>
        <v/>
      </c>
      <c r="D12" s="16">
        <f>$D$8+$D$11</f>
        <v/>
      </c>
      <c r="E12" s="16">
        <f>$E$8+$E$11</f>
        <v/>
      </c>
      <c r="F12" s="16">
        <f>$F$8+$F$11</f>
        <v/>
      </c>
      <c r="H12" s="3" t="inlineStr">
        <is>
          <t>Calculado: inflación del año más los puntos de arriba. Antes estaba tipeado con la cuenta ya hecha, así que cambiar la inflación no lo movía</t>
        </is>
      </c>
    </row>
    <row r="13">
      <c r="B13" s="13" t="inlineStr">
        <is>
          <t>Puntos de salario sobre la inflación</t>
        </is>
      </c>
      <c r="C13" s="14" t="n">
        <v>0.05</v>
      </c>
      <c r="D13" s="14" t="n">
        <v>0.05</v>
      </c>
      <c r="E13" s="14" t="n">
        <v>0.05</v>
      </c>
      <c r="F13" s="14" t="n">
        <v>0.05</v>
      </c>
      <c r="H13" s="3" t="inlineStr">
        <is>
          <t>Política propia: 5 puntos por encima de la inflación, que es la recomposición real que viene mostrando el sector. Contrastar contra la encuesta de sueldos de Sysarmy</t>
        </is>
      </c>
    </row>
    <row r="14">
      <c r="B14" s="13" t="inlineStr">
        <is>
          <t>Aumento anual de salarios</t>
        </is>
      </c>
      <c r="C14" s="16">
        <f>$C$8+$C$13</f>
        <v/>
      </c>
      <c r="D14" s="16">
        <f>$D$8+$D$13</f>
        <v/>
      </c>
      <c r="E14" s="16">
        <f>$E$8+$E$13</f>
        <v/>
      </c>
      <c r="F14" s="16">
        <f>$F$8+$F$13</f>
        <v/>
      </c>
      <c r="H14" s="3" t="inlineStr">
        <is>
          <t>Calculado: inflación del año más los puntos de arriba</t>
        </is>
      </c>
    </row>
    <row r="15"/>
    <row r="16">
      <c r="B16" s="13" t="inlineStr">
        <is>
          <t>Prima de riesgo del proyecto sobre la inflación</t>
        </is>
      </c>
      <c r="C16" s="14" t="n">
        <v>0.2</v>
      </c>
      <c r="H16" s="3" t="inlineStr">
        <is>
          <t>Decisión propia: 20 puntos reales es lo que un proyecto de software sin historial tiene que ofrecer por encima de la inflación para justificar el capital propio</t>
        </is>
      </c>
    </row>
    <row r="17">
      <c r="B17" s="13" t="inlineStr">
        <is>
          <t>Tasa de corte para el VAN</t>
        </is>
      </c>
      <c r="C17" s="16">
        <f>$C$8+$C$16</f>
        <v/>
      </c>
      <c r="H17" s="3" t="inlineStr">
        <is>
          <t>Calculado: inflación del año 1 más la prima de riesgo. Es el costo de oportunidad del capital propio, nominal en pesos</t>
        </is>
      </c>
    </row>
    <row r="18">
      <c r="B18" s="13" t="inlineStr">
        <is>
          <t xml:space="preserve">    Cuánto le gana a la tasa de referencia</t>
        </is>
      </c>
      <c r="C18" s="16">
        <f>$C$17-$C$10</f>
        <v/>
      </c>
      <c r="H18" s="3" t="inlineStr">
        <is>
          <t>Control: si la tasa de corte no le gana a la TAMAR del REM, el proyecto no compite contra un plazo fijo y el VAN pierde sentido</t>
        </is>
      </c>
    </row>
    <row r="19">
      <c r="B19" s="13" t="inlineStr">
        <is>
          <t>Múltiplo de ingresos anuales para el valor terminal</t>
        </is>
      </c>
      <c r="C19" s="17" t="n">
        <v>1.5</v>
      </c>
      <c r="H19" s="3" t="inlineStr">
        <is>
          <t>Cuántas veces los ingresos del último año vale la cartera al cierre del horizonte. Rango de mercado para un MSP chico: 1x a 3x</t>
        </is>
      </c>
    </row>
    <row r="20"/>
    <row r="21">
      <c r="B21" s="9" t="inlineStr">
        <is>
          <t>Mercado meta</t>
        </is>
      </c>
      <c r="C21" s="10" t="n"/>
      <c r="D21" s="10" t="n"/>
      <c r="E21" s="10" t="n"/>
      <c r="F21" s="10" t="n"/>
      <c r="G21" s="10" t="n"/>
      <c r="H21" s="10" t="n"/>
    </row>
    <row r="22">
      <c r="B22" s="13" t="inlineStr">
        <is>
          <t>PyMEs empleadoras en el país</t>
        </is>
      </c>
      <c r="C22" s="15" t="n">
        <v>549100</v>
      </c>
      <c r="H22" s="3" t="inlineStr">
        <is>
          <t>SEPYME / CEP XXI, datos de 2023. Es la base de todo el dimensionamiento</t>
        </is>
      </c>
    </row>
    <row r="23">
      <c r="B23" s="13" t="inlineStr">
        <is>
          <t xml:space="preserve">    de 10 a 49 empleados</t>
        </is>
      </c>
      <c r="C23" s="14" t="n">
        <v>0.12</v>
      </c>
      <c r="H23" s="3" t="inlineStr">
        <is>
          <t>SEPYME: 85 % microempresas de 1 a 9, 12 % pequeñas de 10 a 49, 2,5 % medianas</t>
        </is>
      </c>
    </row>
    <row r="24">
      <c r="B24" s="13" t="inlineStr">
        <is>
          <t xml:space="preserve">    microempresas de 1 a 9 empleados</t>
        </is>
      </c>
      <c r="C24" s="14" t="n">
        <v>0.85</v>
      </c>
      <c r="H24" s="3" t="inlineStr">
        <is>
          <t>SEPYME</t>
        </is>
      </c>
    </row>
    <row r="25">
      <c r="B25" s="13" t="inlineStr">
        <is>
          <t xml:space="preserve">    de esas microempresas, las de 5 a 9</t>
        </is>
      </c>
      <c r="C25" s="14" t="n">
        <v>0.2</v>
      </c>
      <c r="H25" s="3" t="inlineStr">
        <is>
          <t>Supuesto propio: el tramo de 1 a 4 concentra la mayor parte de las microempresas. Es el supuesto que más mueve el resultado y por eso está declarado aparte</t>
        </is>
      </c>
    </row>
    <row r="26">
      <c r="B26" s="13" t="inlineStr">
        <is>
          <t>Participación de CABA</t>
        </is>
      </c>
      <c r="C26" s="14" t="n">
        <v>0.172</v>
      </c>
      <c r="H26" s="3" t="inlineStr">
        <is>
          <t>SEPYME, 2023: CABA reúne el 17,2 % de los establecimientos del país</t>
        </is>
      </c>
    </row>
    <row r="27">
      <c r="B27" s="13" t="inlineStr">
        <is>
          <t>Participación de la provincia de Buenos Aires</t>
        </is>
      </c>
      <c r="C27" s="14" t="n">
        <v>0.323</v>
      </c>
      <c r="H27" s="3" t="inlineStr">
        <is>
          <t>SEPYME, 2023: la Provincia reúne el 32,3 %</t>
        </is>
      </c>
    </row>
    <row r="28">
      <c r="B28" s="13" t="inlineStr">
        <is>
          <t xml:space="preserve">    de la Provincia, lo que cae dentro del AMBA</t>
        </is>
      </c>
      <c r="C28" s="14" t="n">
        <v>0.75</v>
      </c>
      <c r="H28" s="3" t="inlineStr">
        <is>
          <t>Supuesto propio: los 24 partidos del Gran Buenos Aires concentran la mayor parte de la actividad económica de la Provincia, más que su proporción de población</t>
        </is>
      </c>
    </row>
    <row r="29">
      <c r="B29" s="13" t="inlineStr">
        <is>
          <t>PyMEs de 5 a 50 empleados en AMBA</t>
        </is>
      </c>
      <c r="C29" s="18">
        <f>ROUND(C22*(C23+C24*C25)*(C26+C27*C28),0)</f>
        <v/>
      </c>
      <c r="H29" s="3" t="inlineStr">
        <is>
          <t>Calculado: (pequeñas de 10 a 49 + el tramo de 5 a 9 de las microempresas) por la participación del AMBA. Reemplaza a los 72.000 que el plan traía sin fuente citada</t>
        </is>
      </c>
    </row>
    <row r="30">
      <c r="B30" s="13" t="inlineStr">
        <is>
          <t>% con dependencia operativa alta de sus equipos</t>
        </is>
      </c>
      <c r="C30" s="14" t="n">
        <v>0.32</v>
      </c>
      <c r="H30" s="3" t="inlineStr">
        <is>
          <t>Servicios profesionales, salud, educación privada y comercio digitalizado (documento, 4.2)</t>
        </is>
      </c>
    </row>
    <row r="31">
      <c r="B31" s="13" t="inlineStr">
        <is>
          <t>Mercado meta alcanzable</t>
        </is>
      </c>
      <c r="C31" s="18">
        <f>ROUND(C29*C30,0)</f>
        <v/>
      </c>
      <c r="H31" s="3" t="inlineStr">
        <is>
          <t>Calculado</t>
        </is>
      </c>
    </row>
    <row r="32">
      <c r="B32" s="13" t="inlineStr">
        <is>
          <t>Participación objetivo al año 4</t>
        </is>
      </c>
      <c r="C32" s="14" t="n">
        <v>0.014</v>
      </c>
      <c r="H32" s="3" t="inlineStr">
        <is>
          <t>Decisión propia. Punto intermedio entre el 1,1 % que declaraba el plan y el 1,66 % que proyecta el modelo: el objetivo estaba corto y la proyección es optimista, así que se corrigen los dos hacia el medio en lugar de forzar uno para que coincida con el otro</t>
        </is>
      </c>
    </row>
    <row r="33"/>
    <row r="34">
      <c r="B34" s="9" t="inlineStr">
        <is>
          <t>Embudo comercial</t>
        </is>
      </c>
      <c r="C34" s="10" t="n"/>
      <c r="D34" s="10" t="n"/>
      <c r="E34" s="10" t="n"/>
      <c r="F34" s="10" t="n"/>
      <c r="G34" s="10" t="n"/>
      <c r="H34" s="19" t="inlineStr">
        <is>
          <t>Tasas de la sección 5.3.5 del documento, tomando el punto medio de cada rango</t>
        </is>
      </c>
    </row>
    <row r="35">
      <c r="B35" s="13" t="inlineStr">
        <is>
          <t>Visitas web mensuales al inicio</t>
        </is>
      </c>
      <c r="C35" s="15" t="n">
        <v>300</v>
      </c>
      <c r="H35" s="3" t="inlineStr">
        <is>
          <t>Supuesto propio de arranque</t>
        </is>
      </c>
    </row>
    <row r="36">
      <c r="B36" s="13" t="inlineStr">
        <is>
          <t>Crecimiento mensual de visitas</t>
        </is>
      </c>
      <c r="C36" s="14" t="n">
        <v>0.12</v>
      </c>
      <c r="D36" s="14" t="n">
        <v>0.08</v>
      </c>
      <c r="E36" s="14" t="n">
        <v>0.05</v>
      </c>
      <c r="F36" s="14" t="n">
        <v>0.03</v>
      </c>
      <c r="H36" s="3" t="inlineStr">
        <is>
          <t>Por año. Se desacelera: sostener 12 % mensual durante cuatro años multiplicaría las visitas por 200, que no es defendible</t>
        </is>
      </c>
    </row>
    <row r="37">
      <c r="B37" s="13" t="inlineStr">
        <is>
          <t>Visitas a prueba gratuita iniciada</t>
        </is>
      </c>
      <c r="C37" s="14" t="n">
        <v>0.02</v>
      </c>
      <c r="H37" s="3" t="inlineStr">
        <is>
          <t>Decisión propia. Es la tasa de alta autogestionada de un producto que se prueba sin hablar con nadie; el rango del sector va de 1 % a 3 %</t>
        </is>
      </c>
    </row>
    <row r="38">
      <c r="B38" s="13" t="inlineStr">
        <is>
          <t>Prueba gratuita a cliente pago</t>
        </is>
      </c>
      <c r="C38" s="14" t="n">
        <v>0.12</v>
      </c>
      <c r="H38" s="3" t="inlineStr">
        <is>
          <t>Decisión propia. Convierte menos que una prueba precedida por demostración —el documento daba 25 % a 30 %— porque nadie califica al que se registra. Lo que se gana es que el volumen deja de depender de las horas de una persona</t>
        </is>
      </c>
    </row>
    <row r="39">
      <c r="B39" s="20" t="inlineStr">
        <is>
          <t>Conversión total de visita a cliente</t>
        </is>
      </c>
      <c r="C39" s="21">
        <f>C37*C38</f>
        <v/>
      </c>
      <c r="H39" s="3" t="inlineStr">
        <is>
          <t>Calculado. Con 1.000 visitas mensuales da del orden de 2 a 3 clientes nuevos por mes, que es lo que proyecta el documento para la Etapa E3</t>
        </is>
      </c>
    </row>
    <row r="40"/>
    <row r="41">
      <c r="B41" s="9" t="inlineStr">
        <is>
          <t>Pilotos y canal de partners</t>
        </is>
      </c>
      <c r="C41" s="10" t="n"/>
      <c r="D41" s="10" t="n"/>
      <c r="E41" s="10" t="n"/>
      <c r="F41" s="10" t="n"/>
      <c r="G41" s="10" t="n"/>
      <c r="H41" s="10" t="n"/>
    </row>
    <row r="42">
      <c r="B42" s="13" t="inlineStr">
        <is>
          <t>Pilotos gratuitos en la Etapa E1</t>
        </is>
      </c>
      <c r="C42" s="15" t="n">
        <v>5</v>
      </c>
      <c r="H42" s="3" t="inlineStr">
        <is>
          <t>Documento 5.3.4</t>
        </is>
      </c>
    </row>
    <row r="43">
      <c r="B43" s="13" t="inlineStr">
        <is>
          <t>% de pilotos que convierten a plan pago</t>
        </is>
      </c>
      <c r="C43" s="14" t="n">
        <v>0.6</v>
      </c>
      <c r="H43" s="3" t="inlineStr">
        <is>
          <t>Documento 5.3.4: al menos 3 de 5</t>
        </is>
      </c>
    </row>
    <row r="44">
      <c r="B44" s="13" t="inlineStr">
        <is>
          <t>Mes en que convierten los pilotos</t>
        </is>
      </c>
      <c r="C44" s="15" t="n">
        <v>6</v>
      </c>
      <c r="H44" s="3" t="inlineStr">
        <is>
          <t>Cierre de los 90 días de piloto</t>
        </is>
      </c>
    </row>
    <row r="45">
      <c r="B45" s="13" t="inlineStr">
        <is>
          <t>Partners activos al cierre de cada año</t>
        </is>
      </c>
      <c r="C45" s="15" t="n">
        <v>3</v>
      </c>
      <c r="D45" s="15" t="n">
        <v>8</v>
      </c>
      <c r="E45" s="15" t="n">
        <v>15</v>
      </c>
      <c r="F45" s="15" t="n">
        <v>25</v>
      </c>
      <c r="H45" s="3" t="inlineStr">
        <is>
          <t>Documento 5.3.1: 3 partners operativos al mes 12</t>
        </is>
      </c>
    </row>
    <row r="46">
      <c r="B46" s="13" t="inlineStr">
        <is>
          <t>Clientes gestionados por cada partner</t>
        </is>
      </c>
      <c r="C46" s="17" t="n">
        <v>3</v>
      </c>
      <c r="D46" s="17" t="n">
        <v>4</v>
      </c>
      <c r="E46" s="17" t="n">
        <v>5</v>
      </c>
      <c r="F46" s="17" t="n">
        <v>5</v>
      </c>
      <c r="H46" s="3" t="inlineStr">
        <is>
          <t>Documento 5.3.6: mínimo de 3 clientes gestionados para acceder al descuento. Es un stock, no un flujo: un partner tiene una cartera finita</t>
        </is>
      </c>
    </row>
    <row r="47">
      <c r="B47" s="13" t="inlineStr">
        <is>
          <t>Altas anuales del Plan Estándar (Segmento B)</t>
        </is>
      </c>
      <c r="C47" s="17" t="n">
        <v>1.2</v>
      </c>
      <c r="D47" s="17" t="n">
        <v>4.8</v>
      </c>
      <c r="E47" s="17" t="n">
        <v>9.6</v>
      </c>
      <c r="F47" s="17" t="n">
        <v>14.4</v>
      </c>
      <c r="H47" s="3" t="inlineStr">
        <is>
          <t>Documento 5.3.5: ciclo de venta de 60 a 90 días y el primer cliente en la Etapa E3. Es un supuesto directo y no sale del embudo: al Segmento B se lo sale a buscar, no entra por la web</t>
        </is>
      </c>
    </row>
    <row r="48"/>
    <row r="49">
      <c r="B49" s="9" t="inlineStr">
        <is>
          <t>Retención y parque administrado</t>
        </is>
      </c>
      <c r="C49" s="10" t="n"/>
      <c r="D49" s="10" t="n"/>
      <c r="E49" s="10" t="n"/>
      <c r="F49" s="10" t="n"/>
      <c r="G49" s="10" t="n"/>
      <c r="H49" s="10" t="n"/>
    </row>
    <row r="50">
      <c r="B50" s="13" t="inlineStr">
        <is>
          <t>Baja mensual de clientes</t>
        </is>
      </c>
      <c r="C50" s="14" t="n">
        <v>0.07000000000000001</v>
      </c>
      <c r="D50" s="14" t="n">
        <v>0.05</v>
      </c>
      <c r="E50" s="14" t="n">
        <v>0.04</v>
      </c>
      <c r="F50" s="14" t="n">
        <v>0.04</v>
      </c>
      <c r="H50" s="3" t="inlineStr">
        <is>
          <t>Documento 5.3.3: menor o igual a 7 % en E2 y a 5 % en E3</t>
        </is>
      </c>
    </row>
    <row r="51">
      <c r="B51" s="13" t="inlineStr">
        <is>
          <t>Equipos promedio por cliente — Plan Inicial</t>
        </is>
      </c>
      <c r="C51" s="17" t="n">
        <v>18</v>
      </c>
      <c r="D51" s="17" t="n">
        <v>20</v>
      </c>
      <c r="E51" s="17" t="n">
        <v>22</v>
      </c>
      <c r="F51" s="17" t="n">
        <v>24</v>
      </c>
      <c r="H51" s="3" t="inlineStr">
        <is>
          <t>Segmento A: de 10 a 80 equipos (documento, 4.2). Por encima de los 15 que incluye el plan, así que genera facturación por equipo adicional</t>
        </is>
      </c>
    </row>
    <row r="52">
      <c r="B52" s="13" t="inlineStr">
        <is>
          <t>Equipos promedio por cliente — Plan Estándar</t>
        </is>
      </c>
      <c r="C52" s="17" t="n">
        <v>90</v>
      </c>
      <c r="D52" s="17" t="n">
        <v>100</v>
      </c>
      <c r="E52" s="17" t="n">
        <v>110</v>
      </c>
      <c r="F52" s="17" t="n">
        <v>120</v>
      </c>
      <c r="H52" s="3" t="inlineStr">
        <is>
          <t>Segmento B: de 80 a 250 equipos</t>
        </is>
      </c>
    </row>
    <row r="53">
      <c r="B53" s="13" t="inlineStr">
        <is>
          <t>Equipos promedio por cliente — Plan Partner</t>
        </is>
      </c>
      <c r="C53" s="17" t="n">
        <v>15</v>
      </c>
      <c r="D53" s="17" t="n">
        <v>16</v>
      </c>
      <c r="E53" s="17" t="n">
        <v>17</v>
      </c>
      <c r="F53" s="17" t="n">
        <v>18</v>
      </c>
      <c r="H53" s="3" t="inlineStr">
        <is>
          <t>Clientes chicos gestionados por el canal</t>
        </is>
      </c>
    </row>
    <row r="54"/>
    <row r="55">
      <c r="B55" s="3" t="inlineStr">
        <is>
          <t>Las filas marcadas PENDIENTE no tienen valor cargado a propósito: son las que exigen fuente citada y no se completan a ojo.</t>
        </is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8EA9DB"/>
    <outlinePr summaryBelow="1" summaryRight="1"/>
    <pageSetUpPr fitToPage="1"/>
  </sheetPr>
  <dimension ref="A1:L12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60" customWidth="1" min="11" max="11"/>
  </cols>
  <sheetData>
    <row r="1">
      <c r="A1" s="7" t="inlineStr">
        <is>
          <t>« Inicio</t>
        </is>
      </c>
    </row>
    <row r="2" ht="24" customHeight="1">
      <c r="B2" s="8" t="inlineStr">
        <is>
          <t>LÍNEAS DE SERVICIO</t>
        </is>
      </c>
    </row>
    <row r="3">
      <c r="B3" s="3" t="inlineStr">
        <is>
          <t>Precios revisados en D-14, no los de la sección 5.3.6 del documento. Costos variables unitarios de la sección 6.5.3.</t>
        </is>
      </c>
    </row>
    <row r="4"/>
    <row r="5"/>
    <row r="6" ht="32" customHeight="1">
      <c r="B6" s="22" t="inlineStr">
        <is>
          <t>Plan</t>
        </is>
      </c>
      <c r="C6" s="22" t="inlineStr">
        <is>
          <t>Segmento</t>
        </is>
      </c>
      <c r="D6" s="22" t="inlineStr">
        <is>
          <t>Abono mensual</t>
        </is>
      </c>
      <c r="E6" s="22" t="inlineStr">
        <is>
          <t>Equipos incluidos</t>
        </is>
      </c>
      <c r="F6" s="22" t="inlineStr">
        <is>
          <t>Equipo adicional</t>
        </is>
      </c>
      <c r="G6" s="22" t="inlineStr">
        <is>
          <t>CV infraestructura</t>
        </is>
      </c>
      <c r="H6" s="22" t="inlineStr">
        <is>
          <t>CV soporte</t>
        </is>
      </c>
      <c r="I6" s="22" t="inlineStr">
        <is>
          <t>CV servicio de IA</t>
        </is>
      </c>
      <c r="J6" s="22" t="inlineStr">
        <is>
          <t>CV total</t>
        </is>
      </c>
      <c r="K6" s="22" t="inlineStr">
        <is>
          <t>Margen de contribución</t>
        </is>
      </c>
    </row>
    <row r="7">
      <c r="B7" s="20" t="inlineStr">
        <is>
          <t>Plan Inicial</t>
        </is>
      </c>
      <c r="C7" s="13" t="inlineStr">
        <is>
          <t>A</t>
        </is>
      </c>
      <c r="D7" s="15" t="n">
        <v>89000</v>
      </c>
      <c r="E7" s="15" t="n">
        <v>15</v>
      </c>
      <c r="F7" s="15" t="n">
        <v>4200</v>
      </c>
      <c r="G7" s="15" t="n">
        <v>3000</v>
      </c>
      <c r="H7" s="15" t="n">
        <v>4000</v>
      </c>
      <c r="I7" s="15" t="n">
        <v>1500</v>
      </c>
      <c r="J7" s="18">
        <f>SUM(G7:I7)</f>
        <v/>
      </c>
      <c r="K7" s="23">
        <f>(D7-J7)/D7</f>
        <v/>
      </c>
      <c r="L7" s="3" t="inlineStr">
        <is>
          <t>Precio revisado (D-14). USD 49,4 por 15 equipos: USD 3,3 por equipo</t>
        </is>
      </c>
    </row>
    <row r="8">
      <c r="B8" s="20" t="inlineStr">
        <is>
          <t>Plan Estándar</t>
        </is>
      </c>
      <c r="C8" s="13" t="inlineStr">
        <is>
          <t>B</t>
        </is>
      </c>
      <c r="D8" s="15" t="n">
        <v>239000</v>
      </c>
      <c r="E8" s="15" t="n">
        <v>50</v>
      </c>
      <c r="F8" s="15" t="n">
        <v>3500</v>
      </c>
      <c r="G8" s="15" t="n">
        <v>9000</v>
      </c>
      <c r="H8" s="15" t="n">
        <v>12000</v>
      </c>
      <c r="I8" s="15" t="n">
        <v>4000</v>
      </c>
      <c r="J8" s="18">
        <f>SUM(G8:I8)</f>
        <v/>
      </c>
      <c r="K8" s="23">
        <f>(D8-J8)/D8</f>
        <v/>
      </c>
      <c r="L8" s="3" t="inlineStr">
        <is>
          <t>Precio revisado (D-14). USD 132,8 por 50 equipos: USD 2,7 por equipo</t>
        </is>
      </c>
    </row>
    <row r="9">
      <c r="B9" s="20" t="inlineStr">
        <is>
          <t>Plan Partner</t>
        </is>
      </c>
      <c r="C9" s="13" t="inlineStr">
        <is>
          <t>C</t>
        </is>
      </c>
      <c r="D9" s="15" t="n">
        <v>69000</v>
      </c>
      <c r="E9" s="15" t="n">
        <v>30</v>
      </c>
      <c r="F9" s="15" t="n">
        <v>2800</v>
      </c>
      <c r="G9" s="15" t="n">
        <v>2500</v>
      </c>
      <c r="H9" s="15" t="n">
        <v>2500</v>
      </c>
      <c r="I9" s="15" t="n">
        <v>2000</v>
      </c>
      <c r="J9" s="18">
        <f>SUM(G9:I9)</f>
        <v/>
      </c>
      <c r="K9" s="23">
        <f>(D9-J9)/D9</f>
        <v/>
      </c>
      <c r="L9" s="3" t="inlineStr">
        <is>
          <t>Precio revisado (D-14). USD 38,3 por 30 equipos: USD 1,3 por equipo. Mas bajo porque el partner aporta el canal y la primera linea de soporte</t>
        </is>
      </c>
    </row>
    <row r="10"/>
    <row r="11">
      <c r="B11" s="24" t="inlineStr">
        <is>
          <t>El margen de contribución de cada línea lo calcula la columna de la derecha y hoy da alrededor del 90 % en las tres. Es alto, y tiene una explicación: el costo variable de un cliente de software es infraestructura y soporte, no producto. Lo que se come ese margen no es el costo variable sino la estructura fija y los sueldos, que es donde se juega el punto de equilibrio. Hasta la revisión de precios de D-14 daba entre 74 % y 76 %, que es lo que todavía dice la sección 6.5.3 del documento: hay que actualizarla.</t>
        </is>
      </c>
    </row>
    <row r="12"/>
  </sheetData>
  <mergeCells count="2">
    <mergeCell ref="B11:L12"/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U131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8" t="inlineStr">
        <is>
          <t>PROYECCIÓN DE VENTAS</t>
        </is>
      </c>
    </row>
    <row r="3">
      <c r="B3" s="3" t="inlineStr">
        <is>
          <t>Clientes por línea de servicio, mes a mes. Las altas salen del embudo comercial, de la conversión de pilotos y del canal de partners; las tres fuentes se modelan por separado.</t>
        </is>
      </c>
      <c r="Q3" s="5" t="inlineStr">
        <is>
          <t>Resumen anual</t>
        </is>
      </c>
    </row>
    <row r="4">
      <c r="Q4" s="3" t="inlineStr">
        <is>
          <t>Los totales de cada año, que son los que alimentan el gráfico.</t>
        </is>
      </c>
    </row>
    <row r="5">
      <c r="Q5" s="20" t="inlineStr">
        <is>
          <t>Concepto</t>
        </is>
      </c>
      <c r="R5" s="11" t="n">
        <v>2027</v>
      </c>
      <c r="S5" s="11" t="n">
        <v>2028</v>
      </c>
      <c r="T5" s="11" t="n">
        <v>2029</v>
      </c>
      <c r="U5" s="11" t="n">
        <v>2030</v>
      </c>
    </row>
    <row r="6">
      <c r="Q6" s="13" t="inlineStr">
        <is>
          <t>Plan Inicial — Segmento A</t>
        </is>
      </c>
      <c r="R6" s="25">
        <f>O20</f>
        <v/>
      </c>
      <c r="S6" s="25">
        <f>O50</f>
        <v/>
      </c>
      <c r="T6" s="25">
        <f>O80</f>
        <v/>
      </c>
      <c r="U6" s="25">
        <f>O110</f>
        <v/>
      </c>
    </row>
    <row r="7">
      <c r="C7" s="5" t="n">
        <v>2027</v>
      </c>
      <c r="Q7" s="13" t="inlineStr">
        <is>
          <t>Plan Estándar — Segmento B</t>
        </is>
      </c>
      <c r="R7" s="25">
        <f>O26</f>
        <v/>
      </c>
      <c r="S7" s="25">
        <f>O56</f>
        <v/>
      </c>
      <c r="T7" s="25">
        <f>O86</f>
        <v/>
      </c>
      <c r="U7" s="25">
        <f>O116</f>
        <v/>
      </c>
    </row>
    <row r="8">
      <c r="C8" s="26" t="inlineStr">
        <is>
          <t>Ene</t>
        </is>
      </c>
      <c r="D8" s="26" t="inlineStr">
        <is>
          <t>Feb</t>
        </is>
      </c>
      <c r="E8" s="26" t="inlineStr">
        <is>
          <t>Mar</t>
        </is>
      </c>
      <c r="F8" s="26" t="inlineStr">
        <is>
          <t>Abr</t>
        </is>
      </c>
      <c r="G8" s="26" t="inlineStr">
        <is>
          <t>May</t>
        </is>
      </c>
      <c r="H8" s="26" t="inlineStr">
        <is>
          <t>Jun</t>
        </is>
      </c>
      <c r="I8" s="26" t="inlineStr">
        <is>
          <t>Jul</t>
        </is>
      </c>
      <c r="J8" s="26" t="inlineStr">
        <is>
          <t>Ago</t>
        </is>
      </c>
      <c r="K8" s="26" t="inlineStr">
        <is>
          <t>Sep</t>
        </is>
      </c>
      <c r="L8" s="26" t="inlineStr">
        <is>
          <t>Oct</t>
        </is>
      </c>
      <c r="M8" s="26" t="inlineStr">
        <is>
          <t>Nov</t>
        </is>
      </c>
      <c r="N8" s="26" t="inlineStr">
        <is>
          <t>Dic</t>
        </is>
      </c>
      <c r="O8" s="27" t="inlineStr">
        <is>
          <t>Total 2027</t>
        </is>
      </c>
      <c r="Q8" s="13" t="inlineStr">
        <is>
          <t>Plan Partner — Segmento C</t>
        </is>
      </c>
      <c r="R8" s="25">
        <f>O30</f>
        <v/>
      </c>
      <c r="S8" s="25">
        <f>O60</f>
        <v/>
      </c>
      <c r="T8" s="25">
        <f>O90</f>
        <v/>
      </c>
      <c r="U8" s="25">
        <f>O120</f>
        <v/>
      </c>
    </row>
    <row r="9"/>
    <row r="10">
      <c r="B10" s="9" t="inlineStr">
        <is>
          <t>Embudo comercial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20" t="inlineStr">
        <is>
          <t>EMBUDO</t>
        </is>
      </c>
      <c r="B11" s="13" t="inlineStr">
        <is>
          <t>Visitas web</t>
        </is>
      </c>
      <c r="C11" s="28">
        <f>Hipótesis!$C$35</f>
        <v/>
      </c>
      <c r="D11" s="28">
        <f>C11*(1+Hipótesis!$C$36)</f>
        <v/>
      </c>
      <c r="E11" s="28">
        <f>D11*(1+Hipótesis!$C$36)</f>
        <v/>
      </c>
      <c r="F11" s="28">
        <f>E11*(1+Hipótesis!$C$36)</f>
        <v/>
      </c>
      <c r="G11" s="28">
        <f>F11*(1+Hipótesis!$C$36)</f>
        <v/>
      </c>
      <c r="H11" s="28">
        <f>G11*(1+Hipótesis!$C$36)</f>
        <v/>
      </c>
      <c r="I11" s="28">
        <f>H11*(1+Hipótesis!$C$36)</f>
        <v/>
      </c>
      <c r="J11" s="28">
        <f>I11*(1+Hipótesis!$C$36)</f>
        <v/>
      </c>
      <c r="K11" s="28">
        <f>J11*(1+Hipótesis!$C$36)</f>
        <v/>
      </c>
      <c r="L11" s="28">
        <f>K11*(1+Hipótesis!$C$36)</f>
        <v/>
      </c>
      <c r="M11" s="28">
        <f>L11*(1+Hipótesis!$C$36)</f>
        <v/>
      </c>
      <c r="N11" s="28">
        <f>M11*(1+Hipótesis!$C$36)</f>
        <v/>
      </c>
      <c r="O11" s="29">
        <f>SUM(C11:N11)</f>
        <v/>
      </c>
    </row>
    <row r="12">
      <c r="B12" s="13" t="inlineStr">
        <is>
          <t xml:space="preserve">    Pruebas gratuitas iniciadas</t>
        </is>
      </c>
      <c r="C12" s="25">
        <f>C11*Hipótesis!$C$37</f>
        <v/>
      </c>
      <c r="D12" s="25">
        <f>D11*Hipótesis!$C$37</f>
        <v/>
      </c>
      <c r="E12" s="25">
        <f>E11*Hipótesis!$C$37</f>
        <v/>
      </c>
      <c r="F12" s="25">
        <f>F11*Hipótesis!$C$37</f>
        <v/>
      </c>
      <c r="G12" s="25">
        <f>G11*Hipótesis!$C$37</f>
        <v/>
      </c>
      <c r="H12" s="25">
        <f>H11*Hipótesis!$C$37</f>
        <v/>
      </c>
      <c r="I12" s="25">
        <f>I11*Hipótesis!$C$37</f>
        <v/>
      </c>
      <c r="J12" s="25">
        <f>J11*Hipótesis!$C$37</f>
        <v/>
      </c>
      <c r="K12" s="25">
        <f>K11*Hipótesis!$C$37</f>
        <v/>
      </c>
      <c r="L12" s="25">
        <f>L11*Hipótesis!$C$37</f>
        <v/>
      </c>
      <c r="M12" s="25">
        <f>M11*Hipótesis!$C$37</f>
        <v/>
      </c>
      <c r="N12" s="25">
        <f>N11*Hipótesis!$C$37</f>
        <v/>
      </c>
      <c r="O12" s="30">
        <f>SUM(C12:N12)</f>
        <v/>
      </c>
    </row>
    <row r="13">
      <c r="B13" s="20" t="inlineStr">
        <is>
          <t xml:space="preserve">    Clientes nuevos por embudo directo</t>
        </is>
      </c>
      <c r="C13" s="31">
        <f>IF(1&lt;Hipótesis!$C$44,0,C12*Hipótesis!$C$38)</f>
        <v/>
      </c>
      <c r="D13" s="31">
        <f>IF(2&lt;Hipótesis!$C$44,0,D12*Hipótesis!$C$38)</f>
        <v/>
      </c>
      <c r="E13" s="31">
        <f>IF(3&lt;Hipótesis!$C$44,0,E12*Hipótesis!$C$38)</f>
        <v/>
      </c>
      <c r="F13" s="31">
        <f>IF(4&lt;Hipótesis!$C$44,0,F12*Hipótesis!$C$38)</f>
        <v/>
      </c>
      <c r="G13" s="31">
        <f>IF(5&lt;Hipótesis!$C$44,0,G12*Hipótesis!$C$38)</f>
        <v/>
      </c>
      <c r="H13" s="31">
        <f>IF(6&lt;Hipótesis!$C$44,0,H12*Hipótesis!$C$38)</f>
        <v/>
      </c>
      <c r="I13" s="31">
        <f>IF(7&lt;Hipótesis!$C$44,0,I12*Hipótesis!$C$38)</f>
        <v/>
      </c>
      <c r="J13" s="31">
        <f>IF(8&lt;Hipótesis!$C$44,0,J12*Hipótesis!$C$38)</f>
        <v/>
      </c>
      <c r="K13" s="31">
        <f>IF(9&lt;Hipótesis!$C$44,0,K12*Hipótesis!$C$38)</f>
        <v/>
      </c>
      <c r="L13" s="31">
        <f>IF(10&lt;Hipótesis!$C$44,0,L12*Hipótesis!$C$38)</f>
        <v/>
      </c>
      <c r="M13" s="31">
        <f>IF(11&lt;Hipótesis!$C$44,0,M12*Hipótesis!$C$38)</f>
        <v/>
      </c>
      <c r="N13" s="31">
        <f>IF(12&lt;Hipótesis!$C$44,0,N12*Hipótesis!$C$38)</f>
        <v/>
      </c>
      <c r="O13" s="30">
        <f>SUM(C13:N13)</f>
        <v/>
      </c>
    </row>
    <row r="14"/>
    <row r="15">
      <c r="B15" s="9" t="inlineStr">
        <is>
          <t>Plan Inicial — Segmento 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20" t="inlineStr">
        <is>
          <t>PLAN INICIAL</t>
        </is>
      </c>
      <c r="B16" s="13" t="inlineStr">
        <is>
          <t>Base al inicio del mes</t>
        </is>
      </c>
      <c r="C16" s="25" t="n">
        <v>0</v>
      </c>
      <c r="D16" s="25">
        <f>C20</f>
        <v/>
      </c>
      <c r="E16" s="25">
        <f>D20</f>
        <v/>
      </c>
      <c r="F16" s="25">
        <f>E20</f>
        <v/>
      </c>
      <c r="G16" s="25">
        <f>F20</f>
        <v/>
      </c>
      <c r="H16" s="25">
        <f>G20</f>
        <v/>
      </c>
      <c r="I16" s="25">
        <f>H20</f>
        <v/>
      </c>
      <c r="J16" s="25">
        <f>I20</f>
        <v/>
      </c>
      <c r="K16" s="25">
        <f>J20</f>
        <v/>
      </c>
      <c r="L16" s="25">
        <f>K20</f>
        <v/>
      </c>
      <c r="M16" s="25">
        <f>L20</f>
        <v/>
      </c>
      <c r="N16" s="25">
        <f>M20</f>
        <v/>
      </c>
    </row>
    <row r="17">
      <c r="B17" s="13" t="inlineStr">
        <is>
          <t xml:space="preserve">    Altas por embudo directo</t>
        </is>
      </c>
      <c r="C17" s="25">
        <f>C13</f>
        <v/>
      </c>
      <c r="D17" s="25">
        <f>D13</f>
        <v/>
      </c>
      <c r="E17" s="25">
        <f>E13</f>
        <v/>
      </c>
      <c r="F17" s="25">
        <f>F13</f>
        <v/>
      </c>
      <c r="G17" s="25">
        <f>G13</f>
        <v/>
      </c>
      <c r="H17" s="25">
        <f>H13</f>
        <v/>
      </c>
      <c r="I17" s="25">
        <f>I13</f>
        <v/>
      </c>
      <c r="J17" s="25">
        <f>J13</f>
        <v/>
      </c>
      <c r="K17" s="25">
        <f>K13</f>
        <v/>
      </c>
      <c r="L17" s="25">
        <f>L13</f>
        <v/>
      </c>
      <c r="M17" s="25">
        <f>M13</f>
        <v/>
      </c>
      <c r="N17" s="25">
        <f>N13</f>
        <v/>
      </c>
      <c r="O17" s="30">
        <f>SUM(C17:N17)</f>
        <v/>
      </c>
    </row>
    <row r="18">
      <c r="B18" s="13" t="inlineStr">
        <is>
          <t xml:space="preserve">    Altas por conversión de pilotos</t>
        </is>
      </c>
      <c r="C18" s="25">
        <f>IF(AND(1=Hipótesis!$C$44,1=1),Hipótesis!$C$42*Hipótesis!$C$43,0)</f>
        <v/>
      </c>
      <c r="D18" s="25">
        <f>IF(AND(2=Hipótesis!$C$44,1=1),Hipótesis!$C$42*Hipótesis!$C$43,0)</f>
        <v/>
      </c>
      <c r="E18" s="25">
        <f>IF(AND(3=Hipótesis!$C$44,1=1),Hipótesis!$C$42*Hipótesis!$C$43,0)</f>
        <v/>
      </c>
      <c r="F18" s="25">
        <f>IF(AND(4=Hipótesis!$C$44,1=1),Hipótesis!$C$42*Hipótesis!$C$43,0)</f>
        <v/>
      </c>
      <c r="G18" s="25">
        <f>IF(AND(5=Hipótesis!$C$44,1=1),Hipótesis!$C$42*Hipótesis!$C$43,0)</f>
        <v/>
      </c>
      <c r="H18" s="25">
        <f>IF(AND(6=Hipótesis!$C$44,1=1),Hipótesis!$C$42*Hipótesis!$C$43,0)</f>
        <v/>
      </c>
      <c r="I18" s="25">
        <f>IF(AND(7=Hipótesis!$C$44,1=1),Hipótesis!$C$42*Hipótesis!$C$43,0)</f>
        <v/>
      </c>
      <c r="J18" s="25">
        <f>IF(AND(8=Hipótesis!$C$44,1=1),Hipótesis!$C$42*Hipótesis!$C$43,0)</f>
        <v/>
      </c>
      <c r="K18" s="25">
        <f>IF(AND(9=Hipótesis!$C$44,1=1),Hipótesis!$C$42*Hipótesis!$C$43,0)</f>
        <v/>
      </c>
      <c r="L18" s="25">
        <f>IF(AND(10=Hipótesis!$C$44,1=1),Hipótesis!$C$42*Hipótesis!$C$43,0)</f>
        <v/>
      </c>
      <c r="M18" s="25">
        <f>IF(AND(11=Hipótesis!$C$44,1=1),Hipótesis!$C$42*Hipótesis!$C$43,0)</f>
        <v/>
      </c>
      <c r="N18" s="25">
        <f>IF(AND(12=Hipótesis!$C$44,1=1),Hipótesis!$C$42*Hipótesis!$C$43,0)</f>
        <v/>
      </c>
      <c r="O18" s="30">
        <f>SUM(C18:N18)</f>
        <v/>
      </c>
    </row>
    <row r="19">
      <c r="B19" s="13" t="inlineStr">
        <is>
          <t xml:space="preserve">    Bajas</t>
        </is>
      </c>
      <c r="C19" s="25">
        <f>-C16*Hipótesis!$C$50</f>
        <v/>
      </c>
      <c r="D19" s="25">
        <f>-D16*Hipótesis!$C$50</f>
        <v/>
      </c>
      <c r="E19" s="25">
        <f>-E16*Hipótesis!$C$50</f>
        <v/>
      </c>
      <c r="F19" s="25">
        <f>-F16*Hipótesis!$C$50</f>
        <v/>
      </c>
      <c r="G19" s="25">
        <f>-G16*Hipótesis!$C$50</f>
        <v/>
      </c>
      <c r="H19" s="25">
        <f>-H16*Hipótesis!$C$50</f>
        <v/>
      </c>
      <c r="I19" s="25">
        <f>-I16*Hipótesis!$C$50</f>
        <v/>
      </c>
      <c r="J19" s="25">
        <f>-J16*Hipótesis!$C$50</f>
        <v/>
      </c>
      <c r="K19" s="25">
        <f>-K16*Hipótesis!$C$50</f>
        <v/>
      </c>
      <c r="L19" s="25">
        <f>-L16*Hipótesis!$C$50</f>
        <v/>
      </c>
      <c r="M19" s="25">
        <f>-M16*Hipótesis!$C$50</f>
        <v/>
      </c>
      <c r="N19" s="25">
        <f>-N16*Hipótesis!$C$50</f>
        <v/>
      </c>
      <c r="O19" s="30">
        <f>SUM(C19:N19)</f>
        <v/>
      </c>
    </row>
    <row r="20">
      <c r="B20" s="20" t="inlineStr">
        <is>
          <t>Base activa al cierre</t>
        </is>
      </c>
      <c r="C20" s="31">
        <f>SUM(C16:C19)</f>
        <v/>
      </c>
      <c r="D20" s="31">
        <f>SUM(D16:D19)</f>
        <v/>
      </c>
      <c r="E20" s="31">
        <f>SUM(E16:E19)</f>
        <v/>
      </c>
      <c r="F20" s="31">
        <f>SUM(F16:F19)</f>
        <v/>
      </c>
      <c r="G20" s="31">
        <f>SUM(G16:G19)</f>
        <v/>
      </c>
      <c r="H20" s="31">
        <f>SUM(H16:H19)</f>
        <v/>
      </c>
      <c r="I20" s="31">
        <f>SUM(I16:I19)</f>
        <v/>
      </c>
      <c r="J20" s="31">
        <f>SUM(J16:J19)</f>
        <v/>
      </c>
      <c r="K20" s="31">
        <f>SUM(K16:K19)</f>
        <v/>
      </c>
      <c r="L20" s="31">
        <f>SUM(L16:L19)</f>
        <v/>
      </c>
      <c r="M20" s="31">
        <f>SUM(M16:M19)</f>
        <v/>
      </c>
      <c r="N20" s="31">
        <f>SUM(N16:N19)</f>
        <v/>
      </c>
      <c r="O20" s="30">
        <f>N20</f>
        <v/>
      </c>
    </row>
    <row r="21"/>
    <row r="22">
      <c r="B22" s="9" t="inlineStr">
        <is>
          <t>Plan Estándar — Segmento B</t>
        </is>
      </c>
      <c r="C22" s="10" t="n"/>
      <c r="D22" s="10" t="n"/>
      <c r="E22" s="10" t="n"/>
      <c r="F22" s="10" t="n"/>
      <c r="G22" s="10" t="n"/>
      <c r="H22" s="19" t="inlineStr">
        <is>
          <t>Las altas del Segmento B son un supuesto directo de la hoja Hipótesis: ciclo de venta de 60 a 90 días (5.3.5) y el primer cliente en la Etapa E3. En el año 1 se reparten entre los meses 9 y 12; de ahí en adelante, a lo largo de los doce.</t>
        </is>
      </c>
      <c r="I22" s="10" t="n"/>
      <c r="J22" s="10" t="n"/>
      <c r="K22" s="10" t="n"/>
      <c r="L22" s="10" t="n"/>
      <c r="M22" s="10" t="n"/>
      <c r="N22" s="10" t="n"/>
      <c r="O22" s="10" t="n"/>
    </row>
    <row r="23">
      <c r="A23" s="20" t="inlineStr">
        <is>
          <t>PLAN ESTÁNDAR</t>
        </is>
      </c>
      <c r="B23" s="13" t="inlineStr">
        <is>
          <t>Base al inicio del mes</t>
        </is>
      </c>
      <c r="C23" s="25" t="n">
        <v>0</v>
      </c>
      <c r="D23" s="25">
        <f>C26</f>
        <v/>
      </c>
      <c r="E23" s="25">
        <f>D26</f>
        <v/>
      </c>
      <c r="F23" s="25">
        <f>E26</f>
        <v/>
      </c>
      <c r="G23" s="25">
        <f>F26</f>
        <v/>
      </c>
      <c r="H23" s="25">
        <f>G26</f>
        <v/>
      </c>
      <c r="I23" s="25">
        <f>H26</f>
        <v/>
      </c>
      <c r="J23" s="25">
        <f>I26</f>
        <v/>
      </c>
      <c r="K23" s="25">
        <f>J26</f>
        <v/>
      </c>
      <c r="L23" s="25">
        <f>K26</f>
        <v/>
      </c>
      <c r="M23" s="25">
        <f>L26</f>
        <v/>
      </c>
      <c r="N23" s="25">
        <f>M26</f>
        <v/>
      </c>
    </row>
    <row r="24">
      <c r="B24" s="13" t="inlineStr">
        <is>
          <t xml:space="preserve">    Altas</t>
        </is>
      </c>
      <c r="C24" s="25">
        <f>IF(1&lt;9,0,Hipótesis!$C$47/IF(1=1,4,12))</f>
        <v/>
      </c>
      <c r="D24" s="25">
        <f>IF(2&lt;9,0,Hipótesis!$C$47/IF(1=1,4,12))</f>
        <v/>
      </c>
      <c r="E24" s="25">
        <f>IF(3&lt;9,0,Hipótesis!$C$47/IF(1=1,4,12))</f>
        <v/>
      </c>
      <c r="F24" s="25">
        <f>IF(4&lt;9,0,Hipótesis!$C$47/IF(1=1,4,12))</f>
        <v/>
      </c>
      <c r="G24" s="25">
        <f>IF(5&lt;9,0,Hipótesis!$C$47/IF(1=1,4,12))</f>
        <v/>
      </c>
      <c r="H24" s="25">
        <f>IF(6&lt;9,0,Hipótesis!$C$47/IF(1=1,4,12))</f>
        <v/>
      </c>
      <c r="I24" s="25">
        <f>IF(7&lt;9,0,Hipótesis!$C$47/IF(1=1,4,12))</f>
        <v/>
      </c>
      <c r="J24" s="25">
        <f>IF(8&lt;9,0,Hipótesis!$C$47/IF(1=1,4,12))</f>
        <v/>
      </c>
      <c r="K24" s="25">
        <f>IF(9&lt;9,0,Hipótesis!$C$47/IF(1=1,4,12))</f>
        <v/>
      </c>
      <c r="L24" s="25">
        <f>IF(10&lt;9,0,Hipótesis!$C$47/IF(1=1,4,12))</f>
        <v/>
      </c>
      <c r="M24" s="25">
        <f>IF(11&lt;9,0,Hipótesis!$C$47/IF(1=1,4,12))</f>
        <v/>
      </c>
      <c r="N24" s="25">
        <f>IF(12&lt;9,0,Hipótesis!$C$47/IF(1=1,4,12))</f>
        <v/>
      </c>
      <c r="O24" s="30">
        <f>SUM(C24:N24)</f>
        <v/>
      </c>
    </row>
    <row r="25">
      <c r="B25" s="13" t="inlineStr">
        <is>
          <t xml:space="preserve">    Bajas</t>
        </is>
      </c>
      <c r="C25" s="25">
        <f>-C23*Hipótesis!$C$50</f>
        <v/>
      </c>
      <c r="D25" s="25">
        <f>-D23*Hipótesis!$C$50</f>
        <v/>
      </c>
      <c r="E25" s="25">
        <f>-E23*Hipótesis!$C$50</f>
        <v/>
      </c>
      <c r="F25" s="25">
        <f>-F23*Hipótesis!$C$50</f>
        <v/>
      </c>
      <c r="G25" s="25">
        <f>-G23*Hipótesis!$C$50</f>
        <v/>
      </c>
      <c r="H25" s="25">
        <f>-H23*Hipótesis!$C$50</f>
        <v/>
      </c>
      <c r="I25" s="25">
        <f>-I23*Hipótesis!$C$50</f>
        <v/>
      </c>
      <c r="J25" s="25">
        <f>-J23*Hipótesis!$C$50</f>
        <v/>
      </c>
      <c r="K25" s="25">
        <f>-K23*Hipótesis!$C$50</f>
        <v/>
      </c>
      <c r="L25" s="25">
        <f>-L23*Hipótesis!$C$50</f>
        <v/>
      </c>
      <c r="M25" s="25">
        <f>-M23*Hipótesis!$C$50</f>
        <v/>
      </c>
      <c r="N25" s="25">
        <f>-N23*Hipótesis!$C$50</f>
        <v/>
      </c>
      <c r="O25" s="30">
        <f>SUM(C25:N25)</f>
        <v/>
      </c>
    </row>
    <row r="26">
      <c r="B26" s="20" t="inlineStr">
        <is>
          <t>Base activa al cierre</t>
        </is>
      </c>
      <c r="C26" s="31">
        <f>SUM(C23:C25)</f>
        <v/>
      </c>
      <c r="D26" s="31">
        <f>SUM(D23:D25)</f>
        <v/>
      </c>
      <c r="E26" s="31">
        <f>SUM(E23:E25)</f>
        <v/>
      </c>
      <c r="F26" s="31">
        <f>SUM(F23:F25)</f>
        <v/>
      </c>
      <c r="G26" s="31">
        <f>SUM(G23:G25)</f>
        <v/>
      </c>
      <c r="H26" s="31">
        <f>SUM(H23:H25)</f>
        <v/>
      </c>
      <c r="I26" s="31">
        <f>SUM(I23:I25)</f>
        <v/>
      </c>
      <c r="J26" s="31">
        <f>SUM(J23:J25)</f>
        <v/>
      </c>
      <c r="K26" s="31">
        <f>SUM(K23:K25)</f>
        <v/>
      </c>
      <c r="L26" s="31">
        <f>SUM(L23:L25)</f>
        <v/>
      </c>
      <c r="M26" s="31">
        <f>SUM(M23:M25)</f>
        <v/>
      </c>
      <c r="N26" s="31">
        <f>SUM(N23:N25)</f>
        <v/>
      </c>
      <c r="O26" s="30">
        <f>N26</f>
        <v/>
      </c>
    </row>
    <row r="27"/>
    <row r="28">
      <c r="B28" s="9" t="inlineStr">
        <is>
          <t>Plan Partner — Segmento C</t>
        </is>
      </c>
      <c r="C28" s="10" t="n"/>
      <c r="D28" s="10" t="n"/>
      <c r="E28" s="10" t="n"/>
      <c r="F28" s="10" t="n"/>
      <c r="G28" s="10" t="n"/>
      <c r="H28" s="19" t="inlineStr">
        <is>
          <t>La cartera del canal es un stock, no un flujo: cada partner gestiona una cantidad finita de clientes. Modelarlo como altas mensuales perpetuas haría crecer el canal sin techo.</t>
        </is>
      </c>
      <c r="I28" s="10" t="n"/>
      <c r="J28" s="10" t="n"/>
      <c r="K28" s="10" t="n"/>
      <c r="L28" s="10" t="n"/>
      <c r="M28" s="10" t="n"/>
      <c r="N28" s="10" t="n"/>
      <c r="O28" s="10" t="n"/>
    </row>
    <row r="29">
      <c r="A29" s="20" t="inlineStr">
        <is>
          <t>PLAN PARTNER</t>
        </is>
      </c>
      <c r="B29" s="13" t="inlineStr">
        <is>
          <t>Partners activos</t>
        </is>
      </c>
      <c r="C29" s="28">
        <f>ROUND(Hipótesis!$C$45*1/12,0)</f>
        <v/>
      </c>
      <c r="D29" s="28">
        <f>ROUND(Hipótesis!$C$45*2/12,0)</f>
        <v/>
      </c>
      <c r="E29" s="28">
        <f>ROUND(Hipótesis!$C$45*3/12,0)</f>
        <v/>
      </c>
      <c r="F29" s="28">
        <f>ROUND(Hipótesis!$C$45*4/12,0)</f>
        <v/>
      </c>
      <c r="G29" s="28">
        <f>ROUND(Hipótesis!$C$45*5/12,0)</f>
        <v/>
      </c>
      <c r="H29" s="28">
        <f>ROUND(Hipótesis!$C$45*6/12,0)</f>
        <v/>
      </c>
      <c r="I29" s="28">
        <f>ROUND(Hipótesis!$C$45*7/12,0)</f>
        <v/>
      </c>
      <c r="J29" s="28">
        <f>ROUND(Hipótesis!$C$45*8/12,0)</f>
        <v/>
      </c>
      <c r="K29" s="28">
        <f>ROUND(Hipótesis!$C$45*9/12,0)</f>
        <v/>
      </c>
      <c r="L29" s="28">
        <f>ROUND(Hipótesis!$C$45*10/12,0)</f>
        <v/>
      </c>
      <c r="M29" s="28">
        <f>ROUND(Hipótesis!$C$45*11/12,0)</f>
        <v/>
      </c>
      <c r="N29" s="28">
        <f>ROUND(Hipótesis!$C$45*12/12,0)</f>
        <v/>
      </c>
      <c r="O29" s="29">
        <f>N29</f>
        <v/>
      </c>
    </row>
    <row r="30">
      <c r="B30" s="20" t="inlineStr">
        <is>
          <t>Clientes gestionados por el canal</t>
        </is>
      </c>
      <c r="C30" s="31">
        <f>IF(1&lt;Hipótesis!$C$44,0,C29*Hipótesis!$C$46)</f>
        <v/>
      </c>
      <c r="D30" s="31">
        <f>IF(2&lt;Hipótesis!$C$44,0,D29*Hipótesis!$C$46)</f>
        <v/>
      </c>
      <c r="E30" s="31">
        <f>IF(3&lt;Hipótesis!$C$44,0,E29*Hipótesis!$C$46)</f>
        <v/>
      </c>
      <c r="F30" s="31">
        <f>IF(4&lt;Hipótesis!$C$44,0,F29*Hipótesis!$C$46)</f>
        <v/>
      </c>
      <c r="G30" s="31">
        <f>IF(5&lt;Hipótesis!$C$44,0,G29*Hipótesis!$C$46)</f>
        <v/>
      </c>
      <c r="H30" s="31">
        <f>IF(6&lt;Hipótesis!$C$44,0,H29*Hipótesis!$C$46)</f>
        <v/>
      </c>
      <c r="I30" s="31">
        <f>IF(7&lt;Hipótesis!$C$44,0,I29*Hipótesis!$C$46)</f>
        <v/>
      </c>
      <c r="J30" s="31">
        <f>IF(8&lt;Hipótesis!$C$44,0,J29*Hipótesis!$C$46)</f>
        <v/>
      </c>
      <c r="K30" s="31">
        <f>IF(9&lt;Hipótesis!$C$44,0,K29*Hipótesis!$C$46)</f>
        <v/>
      </c>
      <c r="L30" s="31">
        <f>IF(10&lt;Hipótesis!$C$44,0,L29*Hipótesis!$C$46)</f>
        <v/>
      </c>
      <c r="M30" s="31">
        <f>IF(11&lt;Hipótesis!$C$44,0,M29*Hipótesis!$C$46)</f>
        <v/>
      </c>
      <c r="N30" s="31">
        <f>IF(12&lt;Hipótesis!$C$44,0,N29*Hipótesis!$C$46)</f>
        <v/>
      </c>
      <c r="O30" s="30">
        <f>N30</f>
        <v/>
      </c>
    </row>
    <row r="31"/>
    <row r="32">
      <c r="B32" s="9" t="inlineStr">
        <is>
          <t>Consolidado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20" t="inlineStr">
        <is>
          <t>TOTAL</t>
        </is>
      </c>
      <c r="B33" s="20" t="inlineStr">
        <is>
          <t>Clientes pagos activos</t>
        </is>
      </c>
      <c r="C33" s="31">
        <f>C20+C26+C30</f>
        <v/>
      </c>
      <c r="D33" s="31">
        <f>D20+D26+D30</f>
        <v/>
      </c>
      <c r="E33" s="31">
        <f>E20+E26+E30</f>
        <v/>
      </c>
      <c r="F33" s="31">
        <f>F20+F26+F30</f>
        <v/>
      </c>
      <c r="G33" s="31">
        <f>G20+G26+G30</f>
        <v/>
      </c>
      <c r="H33" s="31">
        <f>H20+H26+H30</f>
        <v/>
      </c>
      <c r="I33" s="31">
        <f>I20+I26+I30</f>
        <v/>
      </c>
      <c r="J33" s="31">
        <f>J20+J26+J30</f>
        <v/>
      </c>
      <c r="K33" s="31">
        <f>K20+K26+K30</f>
        <v/>
      </c>
      <c r="L33" s="31">
        <f>L20+L26+L30</f>
        <v/>
      </c>
      <c r="M33" s="31">
        <f>M20+M26+M30</f>
        <v/>
      </c>
      <c r="N33" s="31">
        <f>N20+N26+N30</f>
        <v/>
      </c>
      <c r="O33" s="30">
        <f>N33</f>
        <v/>
      </c>
    </row>
    <row r="34">
      <c r="B34" s="20" t="inlineStr">
        <is>
          <t>Equipos administrados</t>
        </is>
      </c>
      <c r="C34" s="18">
        <f>C20*Hipótesis!$C$51+C26*Hipótesis!$C$52+C30*Hipótesis!$C$53</f>
        <v/>
      </c>
      <c r="D34" s="18">
        <f>D20*Hipótesis!$C$51+D26*Hipótesis!$C$52+D30*Hipótesis!$C$53</f>
        <v/>
      </c>
      <c r="E34" s="18">
        <f>E20*Hipótesis!$C$51+E26*Hipótesis!$C$52+E30*Hipótesis!$C$53</f>
        <v/>
      </c>
      <c r="F34" s="18">
        <f>F20*Hipótesis!$C$51+F26*Hipótesis!$C$52+F30*Hipótesis!$C$53</f>
        <v/>
      </c>
      <c r="G34" s="18">
        <f>G20*Hipótesis!$C$51+G26*Hipótesis!$C$52+G30*Hipótesis!$C$53</f>
        <v/>
      </c>
      <c r="H34" s="18">
        <f>H20*Hipótesis!$C$51+H26*Hipótesis!$C$52+H30*Hipótesis!$C$53</f>
        <v/>
      </c>
      <c r="I34" s="18">
        <f>I20*Hipótesis!$C$51+I26*Hipótesis!$C$52+I30*Hipótesis!$C$53</f>
        <v/>
      </c>
      <c r="J34" s="18">
        <f>J20*Hipótesis!$C$51+J26*Hipótesis!$C$52+J30*Hipótesis!$C$53</f>
        <v/>
      </c>
      <c r="K34" s="18">
        <f>K20*Hipótesis!$C$51+K26*Hipótesis!$C$52+K30*Hipótesis!$C$53</f>
        <v/>
      </c>
      <c r="L34" s="18">
        <f>L20*Hipótesis!$C$51+L26*Hipótesis!$C$52+L30*Hipótesis!$C$53</f>
        <v/>
      </c>
      <c r="M34" s="18">
        <f>M20*Hipótesis!$C$51+M26*Hipótesis!$C$52+M30*Hipótesis!$C$53</f>
        <v/>
      </c>
      <c r="N34" s="18">
        <f>N20*Hipótesis!$C$51+N26*Hipótesis!$C$52+N30*Hipótesis!$C$53</f>
        <v/>
      </c>
      <c r="O34" s="29">
        <f>N34</f>
        <v/>
      </c>
    </row>
    <row r="35"/>
    <row r="36">
      <c r="B36" s="5" t="n"/>
    </row>
    <row r="37">
      <c r="C37" s="5" t="n">
        <v>2028</v>
      </c>
      <c r="D37" s="20" t="n"/>
      <c r="E37" s="20" t="n"/>
    </row>
    <row r="38">
      <c r="B38" s="13" t="n"/>
      <c r="C38" s="26" t="inlineStr">
        <is>
          <t>Ene</t>
        </is>
      </c>
      <c r="D38" s="26" t="inlineStr">
        <is>
          <t>Feb</t>
        </is>
      </c>
      <c r="E38" s="26" t="inlineStr">
        <is>
          <t>Mar</t>
        </is>
      </c>
      <c r="F38" s="26" t="inlineStr">
        <is>
          <t>Abr</t>
        </is>
      </c>
      <c r="G38" s="26" t="inlineStr">
        <is>
          <t>May</t>
        </is>
      </c>
      <c r="H38" s="26" t="inlineStr">
        <is>
          <t>Jun</t>
        </is>
      </c>
      <c r="I38" s="26" t="inlineStr">
        <is>
          <t>Jul</t>
        </is>
      </c>
      <c r="J38" s="26" t="inlineStr">
        <is>
          <t>Ago</t>
        </is>
      </c>
      <c r="K38" s="26" t="inlineStr">
        <is>
          <t>Sep</t>
        </is>
      </c>
      <c r="L38" s="26" t="inlineStr">
        <is>
          <t>Oct</t>
        </is>
      </c>
      <c r="M38" s="26" t="inlineStr">
        <is>
          <t>Nov</t>
        </is>
      </c>
      <c r="N38" s="26" t="inlineStr">
        <is>
          <t>Dic</t>
        </is>
      </c>
      <c r="O38" s="27" t="inlineStr">
        <is>
          <t>Total 2028</t>
        </is>
      </c>
    </row>
    <row r="39">
      <c r="B39" s="13" t="n"/>
      <c r="C39" s="31" t="n"/>
      <c r="D39" s="32" t="n"/>
      <c r="E39" s="16" t="n"/>
    </row>
    <row r="40">
      <c r="B40" s="9" t="inlineStr">
        <is>
          <t>Embudo comercial</t>
        </is>
      </c>
      <c r="C40" s="33" t="n"/>
      <c r="D40" s="34" t="n"/>
      <c r="E40" s="35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20" t="inlineStr">
        <is>
          <t>EMBUDO</t>
        </is>
      </c>
      <c r="B41" s="13" t="inlineStr">
        <is>
          <t>Visitas web</t>
        </is>
      </c>
      <c r="C41" s="28">
        <f>N11*(1+Hipótesis!$D$36)</f>
        <v/>
      </c>
      <c r="D41" s="28">
        <f>C41*(1+Hipótesis!$D$36)</f>
        <v/>
      </c>
      <c r="E41" s="28">
        <f>D41*(1+Hipótesis!$D$36)</f>
        <v/>
      </c>
      <c r="F41" s="28">
        <f>E41*(1+Hipótesis!$D$36)</f>
        <v/>
      </c>
      <c r="G41" s="28">
        <f>F41*(1+Hipótesis!$D$36)</f>
        <v/>
      </c>
      <c r="H41" s="28">
        <f>G41*(1+Hipótesis!$D$36)</f>
        <v/>
      </c>
      <c r="I41" s="28">
        <f>H41*(1+Hipótesis!$D$36)</f>
        <v/>
      </c>
      <c r="J41" s="28">
        <f>I41*(1+Hipótesis!$D$36)</f>
        <v/>
      </c>
      <c r="K41" s="28">
        <f>J41*(1+Hipótesis!$D$36)</f>
        <v/>
      </c>
      <c r="L41" s="28">
        <f>K41*(1+Hipótesis!$D$36)</f>
        <v/>
      </c>
      <c r="M41" s="28">
        <f>L41*(1+Hipótesis!$D$36)</f>
        <v/>
      </c>
      <c r="N41" s="28">
        <f>M41*(1+Hipótesis!$D$36)</f>
        <v/>
      </c>
      <c r="O41" s="29">
        <f>SUM(C41:N41)</f>
        <v/>
      </c>
    </row>
    <row r="42">
      <c r="B42" s="13" t="inlineStr">
        <is>
          <t xml:space="preserve">    Pruebas gratuitas iniciadas</t>
        </is>
      </c>
      <c r="C42" s="25">
        <f>C41*Hipótesis!$C$37</f>
        <v/>
      </c>
      <c r="D42" s="25">
        <f>D41*Hipótesis!$C$37</f>
        <v/>
      </c>
      <c r="E42" s="25">
        <f>E41*Hipótesis!$C$37</f>
        <v/>
      </c>
      <c r="F42" s="25">
        <f>F41*Hipótesis!$C$37</f>
        <v/>
      </c>
      <c r="G42" s="25">
        <f>G41*Hipótesis!$C$37</f>
        <v/>
      </c>
      <c r="H42" s="25">
        <f>H41*Hipótesis!$C$37</f>
        <v/>
      </c>
      <c r="I42" s="25">
        <f>I41*Hipótesis!$C$37</f>
        <v/>
      </c>
      <c r="J42" s="25">
        <f>J41*Hipótesis!$C$37</f>
        <v/>
      </c>
      <c r="K42" s="25">
        <f>K41*Hipótesis!$C$37</f>
        <v/>
      </c>
      <c r="L42" s="25">
        <f>L41*Hipótesis!$C$37</f>
        <v/>
      </c>
      <c r="M42" s="25">
        <f>M41*Hipótesis!$C$37</f>
        <v/>
      </c>
      <c r="N42" s="25">
        <f>N41*Hipótesis!$C$37</f>
        <v/>
      </c>
      <c r="O42" s="30">
        <f>SUM(C42:N42)</f>
        <v/>
      </c>
    </row>
    <row r="43">
      <c r="B43" s="20" t="inlineStr">
        <is>
          <t xml:space="preserve">    Clientes nuevos por embudo directo</t>
        </is>
      </c>
      <c r="C43" s="31">
        <f>IF(13&lt;Hipótesis!$C$44,0,C42*Hipótesis!$C$38)</f>
        <v/>
      </c>
      <c r="D43" s="31">
        <f>IF(14&lt;Hipótesis!$C$44,0,D42*Hipótesis!$C$38)</f>
        <v/>
      </c>
      <c r="E43" s="31">
        <f>IF(15&lt;Hipótesis!$C$44,0,E42*Hipótesis!$C$38)</f>
        <v/>
      </c>
      <c r="F43" s="31">
        <f>IF(16&lt;Hipótesis!$C$44,0,F42*Hipótesis!$C$38)</f>
        <v/>
      </c>
      <c r="G43" s="31">
        <f>IF(17&lt;Hipótesis!$C$44,0,G42*Hipótesis!$C$38)</f>
        <v/>
      </c>
      <c r="H43" s="31">
        <f>IF(18&lt;Hipótesis!$C$44,0,H42*Hipótesis!$C$38)</f>
        <v/>
      </c>
      <c r="I43" s="31">
        <f>IF(19&lt;Hipótesis!$C$44,0,I42*Hipótesis!$C$38)</f>
        <v/>
      </c>
      <c r="J43" s="31">
        <f>IF(20&lt;Hipótesis!$C$44,0,J42*Hipótesis!$C$38)</f>
        <v/>
      </c>
      <c r="K43" s="31">
        <f>IF(21&lt;Hipótesis!$C$44,0,K42*Hipótesis!$C$38)</f>
        <v/>
      </c>
      <c r="L43" s="31">
        <f>IF(22&lt;Hipótesis!$C$44,0,L42*Hipótesis!$C$38)</f>
        <v/>
      </c>
      <c r="M43" s="31">
        <f>IF(23&lt;Hipótesis!$C$44,0,M42*Hipótesis!$C$38)</f>
        <v/>
      </c>
      <c r="N43" s="31">
        <f>IF(24&lt;Hipótesis!$C$44,0,N42*Hipótesis!$C$38)</f>
        <v/>
      </c>
      <c r="O43" s="30">
        <f>SUM(C43:N43)</f>
        <v/>
      </c>
    </row>
    <row r="44"/>
    <row r="45">
      <c r="B45" s="9" t="inlineStr">
        <is>
          <t>Plan Inicial — Segmento A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20" t="inlineStr">
        <is>
          <t>PLAN INICIAL</t>
        </is>
      </c>
      <c r="B46" s="13" t="inlineStr">
        <is>
          <t>Base al inicio del mes</t>
        </is>
      </c>
      <c r="C46" s="25">
        <f>N20</f>
        <v/>
      </c>
      <c r="D46" s="25">
        <f>C50</f>
        <v/>
      </c>
      <c r="E46" s="25">
        <f>D50</f>
        <v/>
      </c>
      <c r="F46" s="25">
        <f>E50</f>
        <v/>
      </c>
      <c r="G46" s="25">
        <f>F50</f>
        <v/>
      </c>
      <c r="H46" s="25">
        <f>G50</f>
        <v/>
      </c>
      <c r="I46" s="25">
        <f>H50</f>
        <v/>
      </c>
      <c r="J46" s="25">
        <f>I50</f>
        <v/>
      </c>
      <c r="K46" s="25">
        <f>J50</f>
        <v/>
      </c>
      <c r="L46" s="25">
        <f>K50</f>
        <v/>
      </c>
      <c r="M46" s="25">
        <f>L50</f>
        <v/>
      </c>
      <c r="N46" s="25">
        <f>M50</f>
        <v/>
      </c>
    </row>
    <row r="47">
      <c r="B47" s="13" t="inlineStr">
        <is>
          <t xml:space="preserve">    Altas por embudo directo</t>
        </is>
      </c>
      <c r="C47" s="25">
        <f>C43</f>
        <v/>
      </c>
      <c r="D47" s="25">
        <f>D43</f>
        <v/>
      </c>
      <c r="E47" s="25">
        <f>E43</f>
        <v/>
      </c>
      <c r="F47" s="25">
        <f>F43</f>
        <v/>
      </c>
      <c r="G47" s="25">
        <f>G43</f>
        <v/>
      </c>
      <c r="H47" s="25">
        <f>H43</f>
        <v/>
      </c>
      <c r="I47" s="25">
        <f>I43</f>
        <v/>
      </c>
      <c r="J47" s="25">
        <f>J43</f>
        <v/>
      </c>
      <c r="K47" s="25">
        <f>K43</f>
        <v/>
      </c>
      <c r="L47" s="25">
        <f>L43</f>
        <v/>
      </c>
      <c r="M47" s="25">
        <f>M43</f>
        <v/>
      </c>
      <c r="N47" s="25">
        <f>N43</f>
        <v/>
      </c>
      <c r="O47" s="30">
        <f>SUM(C47:N47)</f>
        <v/>
      </c>
    </row>
    <row r="48">
      <c r="B48" s="13" t="inlineStr">
        <is>
          <t xml:space="preserve">    Altas por conversión de pilotos</t>
        </is>
      </c>
      <c r="C48" s="25">
        <f>IF(AND(13=Hipótesis!$C$44,2=1),Hipótesis!$C$42*Hipótesis!$C$43,0)</f>
        <v/>
      </c>
      <c r="D48" s="25">
        <f>IF(AND(14=Hipótesis!$C$44,2=1),Hipótesis!$C$42*Hipótesis!$C$43,0)</f>
        <v/>
      </c>
      <c r="E48" s="25">
        <f>IF(AND(15=Hipótesis!$C$44,2=1),Hipótesis!$C$42*Hipótesis!$C$43,0)</f>
        <v/>
      </c>
      <c r="F48" s="25">
        <f>IF(AND(16=Hipótesis!$C$44,2=1),Hipótesis!$C$42*Hipótesis!$C$43,0)</f>
        <v/>
      </c>
      <c r="G48" s="25">
        <f>IF(AND(17=Hipótesis!$C$44,2=1),Hipótesis!$C$42*Hipótesis!$C$43,0)</f>
        <v/>
      </c>
      <c r="H48" s="25">
        <f>IF(AND(18=Hipótesis!$C$44,2=1),Hipótesis!$C$42*Hipótesis!$C$43,0)</f>
        <v/>
      </c>
      <c r="I48" s="25">
        <f>IF(AND(19=Hipótesis!$C$44,2=1),Hipótesis!$C$42*Hipótesis!$C$43,0)</f>
        <v/>
      </c>
      <c r="J48" s="25">
        <f>IF(AND(20=Hipótesis!$C$44,2=1),Hipótesis!$C$42*Hipótesis!$C$43,0)</f>
        <v/>
      </c>
      <c r="K48" s="25">
        <f>IF(AND(21=Hipótesis!$C$44,2=1),Hipótesis!$C$42*Hipótesis!$C$43,0)</f>
        <v/>
      </c>
      <c r="L48" s="25">
        <f>IF(AND(22=Hipótesis!$C$44,2=1),Hipótesis!$C$42*Hipótesis!$C$43,0)</f>
        <v/>
      </c>
      <c r="M48" s="25">
        <f>IF(AND(23=Hipótesis!$C$44,2=1),Hipótesis!$C$42*Hipótesis!$C$43,0)</f>
        <v/>
      </c>
      <c r="N48" s="25">
        <f>IF(AND(24=Hipótesis!$C$44,2=1),Hipótesis!$C$42*Hipótesis!$C$43,0)</f>
        <v/>
      </c>
      <c r="O48" s="30">
        <f>SUM(C48:N48)</f>
        <v/>
      </c>
    </row>
    <row r="49">
      <c r="B49" s="13" t="inlineStr">
        <is>
          <t xml:space="preserve">    Bajas</t>
        </is>
      </c>
      <c r="C49" s="25">
        <f>-C46*Hipótesis!$D$50</f>
        <v/>
      </c>
      <c r="D49" s="25">
        <f>-D46*Hipótesis!$D$50</f>
        <v/>
      </c>
      <c r="E49" s="25">
        <f>-E46*Hipótesis!$D$50</f>
        <v/>
      </c>
      <c r="F49" s="25">
        <f>-F46*Hipótesis!$D$50</f>
        <v/>
      </c>
      <c r="G49" s="25">
        <f>-G46*Hipótesis!$D$50</f>
        <v/>
      </c>
      <c r="H49" s="25">
        <f>-H46*Hipótesis!$D$50</f>
        <v/>
      </c>
      <c r="I49" s="25">
        <f>-I46*Hipótesis!$D$50</f>
        <v/>
      </c>
      <c r="J49" s="25">
        <f>-J46*Hipótesis!$D$50</f>
        <v/>
      </c>
      <c r="K49" s="25">
        <f>-K46*Hipótesis!$D$50</f>
        <v/>
      </c>
      <c r="L49" s="25">
        <f>-L46*Hipótesis!$D$50</f>
        <v/>
      </c>
      <c r="M49" s="25">
        <f>-M46*Hipótesis!$D$50</f>
        <v/>
      </c>
      <c r="N49" s="25">
        <f>-N46*Hipótesis!$D$50</f>
        <v/>
      </c>
      <c r="O49" s="30">
        <f>SUM(C49:N49)</f>
        <v/>
      </c>
    </row>
    <row r="50">
      <c r="B50" s="20" t="inlineStr">
        <is>
          <t>Base activa al cierre</t>
        </is>
      </c>
      <c r="C50" s="31">
        <f>SUM(C46:C49)</f>
        <v/>
      </c>
      <c r="D50" s="31">
        <f>SUM(D46:D49)</f>
        <v/>
      </c>
      <c r="E50" s="31">
        <f>SUM(E46:E49)</f>
        <v/>
      </c>
      <c r="F50" s="31">
        <f>SUM(F46:F49)</f>
        <v/>
      </c>
      <c r="G50" s="31">
        <f>SUM(G46:G49)</f>
        <v/>
      </c>
      <c r="H50" s="31">
        <f>SUM(H46:H49)</f>
        <v/>
      </c>
      <c r="I50" s="31">
        <f>SUM(I46:I49)</f>
        <v/>
      </c>
      <c r="J50" s="31">
        <f>SUM(J46:J49)</f>
        <v/>
      </c>
      <c r="K50" s="31">
        <f>SUM(K46:K49)</f>
        <v/>
      </c>
      <c r="L50" s="31">
        <f>SUM(L46:L49)</f>
        <v/>
      </c>
      <c r="M50" s="31">
        <f>SUM(M46:M49)</f>
        <v/>
      </c>
      <c r="N50" s="31">
        <f>SUM(N46:N49)</f>
        <v/>
      </c>
      <c r="O50" s="30">
        <f>N50</f>
        <v/>
      </c>
    </row>
    <row r="51"/>
    <row r="52">
      <c r="B52" s="9" t="inlineStr">
        <is>
          <t>Plan Estándar — Segmento B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20" t="inlineStr">
        <is>
          <t>PLAN ESTÁNDAR</t>
        </is>
      </c>
      <c r="B53" s="13" t="inlineStr">
        <is>
          <t>Base al inicio del mes</t>
        </is>
      </c>
      <c r="C53" s="25">
        <f>N26</f>
        <v/>
      </c>
      <c r="D53" s="25">
        <f>C56</f>
        <v/>
      </c>
      <c r="E53" s="25">
        <f>D56</f>
        <v/>
      </c>
      <c r="F53" s="25">
        <f>E56</f>
        <v/>
      </c>
      <c r="G53" s="25">
        <f>F56</f>
        <v/>
      </c>
      <c r="H53" s="25">
        <f>G56</f>
        <v/>
      </c>
      <c r="I53" s="25">
        <f>H56</f>
        <v/>
      </c>
      <c r="J53" s="25">
        <f>I56</f>
        <v/>
      </c>
      <c r="K53" s="25">
        <f>J56</f>
        <v/>
      </c>
      <c r="L53" s="25">
        <f>K56</f>
        <v/>
      </c>
      <c r="M53" s="25">
        <f>L56</f>
        <v/>
      </c>
      <c r="N53" s="25">
        <f>M56</f>
        <v/>
      </c>
    </row>
    <row r="54">
      <c r="B54" s="13" t="inlineStr">
        <is>
          <t xml:space="preserve">    Altas</t>
        </is>
      </c>
      <c r="C54" s="25">
        <f>IF(13&lt;9,0,Hipótesis!$D$47/IF(2=1,4,12))</f>
        <v/>
      </c>
      <c r="D54" s="25">
        <f>IF(14&lt;9,0,Hipótesis!$D$47/IF(2=1,4,12))</f>
        <v/>
      </c>
      <c r="E54" s="25">
        <f>IF(15&lt;9,0,Hipótesis!$D$47/IF(2=1,4,12))</f>
        <v/>
      </c>
      <c r="F54" s="25">
        <f>IF(16&lt;9,0,Hipótesis!$D$47/IF(2=1,4,12))</f>
        <v/>
      </c>
      <c r="G54" s="25">
        <f>IF(17&lt;9,0,Hipótesis!$D$47/IF(2=1,4,12))</f>
        <v/>
      </c>
      <c r="H54" s="25">
        <f>IF(18&lt;9,0,Hipótesis!$D$47/IF(2=1,4,12))</f>
        <v/>
      </c>
      <c r="I54" s="25">
        <f>IF(19&lt;9,0,Hipótesis!$D$47/IF(2=1,4,12))</f>
        <v/>
      </c>
      <c r="J54" s="25">
        <f>IF(20&lt;9,0,Hipótesis!$D$47/IF(2=1,4,12))</f>
        <v/>
      </c>
      <c r="K54" s="25">
        <f>IF(21&lt;9,0,Hipótesis!$D$47/IF(2=1,4,12))</f>
        <v/>
      </c>
      <c r="L54" s="25">
        <f>IF(22&lt;9,0,Hipótesis!$D$47/IF(2=1,4,12))</f>
        <v/>
      </c>
      <c r="M54" s="25">
        <f>IF(23&lt;9,0,Hipótesis!$D$47/IF(2=1,4,12))</f>
        <v/>
      </c>
      <c r="N54" s="25">
        <f>IF(24&lt;9,0,Hipótesis!$D$47/IF(2=1,4,12))</f>
        <v/>
      </c>
      <c r="O54" s="30">
        <f>SUM(C54:N54)</f>
        <v/>
      </c>
    </row>
    <row r="55">
      <c r="B55" s="13" t="inlineStr">
        <is>
          <t xml:space="preserve">    Bajas</t>
        </is>
      </c>
      <c r="C55" s="25">
        <f>-C53*Hipótesis!$D$50</f>
        <v/>
      </c>
      <c r="D55" s="25">
        <f>-D53*Hipótesis!$D$50</f>
        <v/>
      </c>
      <c r="E55" s="25">
        <f>-E53*Hipótesis!$D$50</f>
        <v/>
      </c>
      <c r="F55" s="25">
        <f>-F53*Hipótesis!$D$50</f>
        <v/>
      </c>
      <c r="G55" s="25">
        <f>-G53*Hipótesis!$D$50</f>
        <v/>
      </c>
      <c r="H55" s="25">
        <f>-H53*Hipótesis!$D$50</f>
        <v/>
      </c>
      <c r="I55" s="25">
        <f>-I53*Hipótesis!$D$50</f>
        <v/>
      </c>
      <c r="J55" s="25">
        <f>-J53*Hipótesis!$D$50</f>
        <v/>
      </c>
      <c r="K55" s="25">
        <f>-K53*Hipótesis!$D$50</f>
        <v/>
      </c>
      <c r="L55" s="25">
        <f>-L53*Hipótesis!$D$50</f>
        <v/>
      </c>
      <c r="M55" s="25">
        <f>-M53*Hipótesis!$D$50</f>
        <v/>
      </c>
      <c r="N55" s="25">
        <f>-N53*Hipótesis!$D$50</f>
        <v/>
      </c>
      <c r="O55" s="30">
        <f>SUM(C55:N55)</f>
        <v/>
      </c>
    </row>
    <row r="56">
      <c r="B56" s="20" t="inlineStr">
        <is>
          <t>Base activa al cierre</t>
        </is>
      </c>
      <c r="C56" s="31">
        <f>SUM(C53:C55)</f>
        <v/>
      </c>
      <c r="D56" s="31">
        <f>SUM(D53:D55)</f>
        <v/>
      </c>
      <c r="E56" s="31">
        <f>SUM(E53:E55)</f>
        <v/>
      </c>
      <c r="F56" s="31">
        <f>SUM(F53:F55)</f>
        <v/>
      </c>
      <c r="G56" s="31">
        <f>SUM(G53:G55)</f>
        <v/>
      </c>
      <c r="H56" s="31">
        <f>SUM(H53:H55)</f>
        <v/>
      </c>
      <c r="I56" s="31">
        <f>SUM(I53:I55)</f>
        <v/>
      </c>
      <c r="J56" s="31">
        <f>SUM(J53:J55)</f>
        <v/>
      </c>
      <c r="K56" s="31">
        <f>SUM(K53:K55)</f>
        <v/>
      </c>
      <c r="L56" s="31">
        <f>SUM(L53:L55)</f>
        <v/>
      </c>
      <c r="M56" s="31">
        <f>SUM(M53:M55)</f>
        <v/>
      </c>
      <c r="N56" s="31">
        <f>SUM(N53:N55)</f>
        <v/>
      </c>
      <c r="O56" s="30">
        <f>N56</f>
        <v/>
      </c>
    </row>
    <row r="57"/>
    <row r="58">
      <c r="B58" s="9" t="inlineStr">
        <is>
          <t>Plan Partner — Segmento C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20" t="inlineStr">
        <is>
          <t>PLAN PARTNER</t>
        </is>
      </c>
      <c r="B59" s="13" t="inlineStr">
        <is>
          <t>Partners activos</t>
        </is>
      </c>
      <c r="C59" s="28">
        <f>ROUND(Hipótesis!$C$45+(Hipótesis!$D$45-Hipótesis!$C$45)*1/12,0)</f>
        <v/>
      </c>
      <c r="D59" s="28">
        <f>ROUND(Hipótesis!$C$45+(Hipótesis!$D$45-Hipótesis!$C$45)*2/12,0)</f>
        <v/>
      </c>
      <c r="E59" s="28">
        <f>ROUND(Hipótesis!$C$45+(Hipótesis!$D$45-Hipótesis!$C$45)*3/12,0)</f>
        <v/>
      </c>
      <c r="F59" s="28">
        <f>ROUND(Hipótesis!$C$45+(Hipótesis!$D$45-Hipótesis!$C$45)*4/12,0)</f>
        <v/>
      </c>
      <c r="G59" s="28">
        <f>ROUND(Hipótesis!$C$45+(Hipótesis!$D$45-Hipótesis!$C$45)*5/12,0)</f>
        <v/>
      </c>
      <c r="H59" s="28">
        <f>ROUND(Hipótesis!$C$45+(Hipótesis!$D$45-Hipótesis!$C$45)*6/12,0)</f>
        <v/>
      </c>
      <c r="I59" s="28">
        <f>ROUND(Hipótesis!$C$45+(Hipótesis!$D$45-Hipótesis!$C$45)*7/12,0)</f>
        <v/>
      </c>
      <c r="J59" s="28">
        <f>ROUND(Hipótesis!$C$45+(Hipótesis!$D$45-Hipótesis!$C$45)*8/12,0)</f>
        <v/>
      </c>
      <c r="K59" s="28">
        <f>ROUND(Hipótesis!$C$45+(Hipótesis!$D$45-Hipótesis!$C$45)*9/12,0)</f>
        <v/>
      </c>
      <c r="L59" s="28">
        <f>ROUND(Hipótesis!$C$45+(Hipótesis!$D$45-Hipótesis!$C$45)*10/12,0)</f>
        <v/>
      </c>
      <c r="M59" s="28">
        <f>ROUND(Hipótesis!$C$45+(Hipótesis!$D$45-Hipótesis!$C$45)*11/12,0)</f>
        <v/>
      </c>
      <c r="N59" s="28">
        <f>ROUND(Hipótesis!$C$45+(Hipótesis!$D$45-Hipótesis!$C$45)*12/12,0)</f>
        <v/>
      </c>
      <c r="O59" s="29">
        <f>N59</f>
        <v/>
      </c>
    </row>
    <row r="60">
      <c r="B60" s="20" t="inlineStr">
        <is>
          <t>Clientes gestionados por el canal</t>
        </is>
      </c>
      <c r="C60" s="31">
        <f>IF(13&lt;Hipótesis!$C$44,0,C59*Hipótesis!$D$46)</f>
        <v/>
      </c>
      <c r="D60" s="31">
        <f>IF(14&lt;Hipótesis!$C$44,0,D59*Hipótesis!$D$46)</f>
        <v/>
      </c>
      <c r="E60" s="31">
        <f>IF(15&lt;Hipótesis!$C$44,0,E59*Hipótesis!$D$46)</f>
        <v/>
      </c>
      <c r="F60" s="31">
        <f>IF(16&lt;Hipótesis!$C$44,0,F59*Hipótesis!$D$46)</f>
        <v/>
      </c>
      <c r="G60" s="31">
        <f>IF(17&lt;Hipótesis!$C$44,0,G59*Hipótesis!$D$46)</f>
        <v/>
      </c>
      <c r="H60" s="31">
        <f>IF(18&lt;Hipótesis!$C$44,0,H59*Hipótesis!$D$46)</f>
        <v/>
      </c>
      <c r="I60" s="31">
        <f>IF(19&lt;Hipótesis!$C$44,0,I59*Hipótesis!$D$46)</f>
        <v/>
      </c>
      <c r="J60" s="31">
        <f>IF(20&lt;Hipótesis!$C$44,0,J59*Hipótesis!$D$46)</f>
        <v/>
      </c>
      <c r="K60" s="31">
        <f>IF(21&lt;Hipótesis!$C$44,0,K59*Hipótesis!$D$46)</f>
        <v/>
      </c>
      <c r="L60" s="31">
        <f>IF(22&lt;Hipótesis!$C$44,0,L59*Hipótesis!$D$46)</f>
        <v/>
      </c>
      <c r="M60" s="31">
        <f>IF(23&lt;Hipótesis!$C$44,0,M59*Hipótesis!$D$46)</f>
        <v/>
      </c>
      <c r="N60" s="31">
        <f>IF(24&lt;Hipótesis!$C$44,0,N59*Hipótesis!$D$46)</f>
        <v/>
      </c>
      <c r="O60" s="30">
        <f>N60</f>
        <v/>
      </c>
    </row>
    <row r="61"/>
    <row r="62">
      <c r="B62" s="9" t="inlineStr">
        <is>
          <t>Consolidado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</row>
    <row r="63">
      <c r="A63" s="20" t="inlineStr">
        <is>
          <t>TOTAL</t>
        </is>
      </c>
      <c r="B63" s="20" t="inlineStr">
        <is>
          <t>Clientes pagos activos</t>
        </is>
      </c>
      <c r="C63" s="31">
        <f>C50+C56+C60</f>
        <v/>
      </c>
      <c r="D63" s="31">
        <f>D50+D56+D60</f>
        <v/>
      </c>
      <c r="E63" s="31">
        <f>E50+E56+E60</f>
        <v/>
      </c>
      <c r="F63" s="31">
        <f>F50+F56+F60</f>
        <v/>
      </c>
      <c r="G63" s="31">
        <f>G50+G56+G60</f>
        <v/>
      </c>
      <c r="H63" s="31">
        <f>H50+H56+H60</f>
        <v/>
      </c>
      <c r="I63" s="31">
        <f>I50+I56+I60</f>
        <v/>
      </c>
      <c r="J63" s="31">
        <f>J50+J56+J60</f>
        <v/>
      </c>
      <c r="K63" s="31">
        <f>K50+K56+K60</f>
        <v/>
      </c>
      <c r="L63" s="31">
        <f>L50+L56+L60</f>
        <v/>
      </c>
      <c r="M63" s="31">
        <f>M50+M56+M60</f>
        <v/>
      </c>
      <c r="N63" s="31">
        <f>N50+N56+N60</f>
        <v/>
      </c>
      <c r="O63" s="30">
        <f>N63</f>
        <v/>
      </c>
    </row>
    <row r="64">
      <c r="B64" s="20" t="inlineStr">
        <is>
          <t>Equipos administrados</t>
        </is>
      </c>
      <c r="C64" s="18">
        <f>C50*Hipótesis!$D$51+C56*Hipótesis!$D$52+C60*Hipótesis!$D$53</f>
        <v/>
      </c>
      <c r="D64" s="18">
        <f>D50*Hipótesis!$D$51+D56*Hipótesis!$D$52+D60*Hipótesis!$D$53</f>
        <v/>
      </c>
      <c r="E64" s="18">
        <f>E50*Hipótesis!$D$51+E56*Hipótesis!$D$52+E60*Hipótesis!$D$53</f>
        <v/>
      </c>
      <c r="F64" s="18">
        <f>F50*Hipótesis!$D$51+F56*Hipótesis!$D$52+F60*Hipótesis!$D$53</f>
        <v/>
      </c>
      <c r="G64" s="18">
        <f>G50*Hipótesis!$D$51+G56*Hipótesis!$D$52+G60*Hipótesis!$D$53</f>
        <v/>
      </c>
      <c r="H64" s="18">
        <f>H50*Hipótesis!$D$51+H56*Hipótesis!$D$52+H60*Hipótesis!$D$53</f>
        <v/>
      </c>
      <c r="I64" s="18">
        <f>I50*Hipótesis!$D$51+I56*Hipótesis!$D$52+I60*Hipótesis!$D$53</f>
        <v/>
      </c>
      <c r="J64" s="18">
        <f>J50*Hipótesis!$D$51+J56*Hipótesis!$D$52+J60*Hipótesis!$D$53</f>
        <v/>
      </c>
      <c r="K64" s="18">
        <f>K50*Hipótesis!$D$51+K56*Hipótesis!$D$52+K60*Hipótesis!$D$53</f>
        <v/>
      </c>
      <c r="L64" s="18">
        <f>L50*Hipótesis!$D$51+L56*Hipótesis!$D$52+L60*Hipótesis!$D$53</f>
        <v/>
      </c>
      <c r="M64" s="18">
        <f>M50*Hipótesis!$D$51+M56*Hipótesis!$D$52+M60*Hipótesis!$D$53</f>
        <v/>
      </c>
      <c r="N64" s="18">
        <f>N50*Hipótesis!$D$51+N56*Hipótesis!$D$52+N60*Hipótesis!$D$53</f>
        <v/>
      </c>
      <c r="O64" s="29">
        <f>N64</f>
        <v/>
      </c>
    </row>
    <row r="65"/>
    <row r="66"/>
    <row r="67">
      <c r="C67" s="5" t="n">
        <v>2029</v>
      </c>
    </row>
    <row r="68">
      <c r="C68" s="26" t="inlineStr">
        <is>
          <t>Ene</t>
        </is>
      </c>
      <c r="D68" s="26" t="inlineStr">
        <is>
          <t>Feb</t>
        </is>
      </c>
      <c r="E68" s="26" t="inlineStr">
        <is>
          <t>Mar</t>
        </is>
      </c>
      <c r="F68" s="26" t="inlineStr">
        <is>
          <t>Abr</t>
        </is>
      </c>
      <c r="G68" s="26" t="inlineStr">
        <is>
          <t>May</t>
        </is>
      </c>
      <c r="H68" s="26" t="inlineStr">
        <is>
          <t>Jun</t>
        </is>
      </c>
      <c r="I68" s="26" t="inlineStr">
        <is>
          <t>Jul</t>
        </is>
      </c>
      <c r="J68" s="26" t="inlineStr">
        <is>
          <t>Ago</t>
        </is>
      </c>
      <c r="K68" s="26" t="inlineStr">
        <is>
          <t>Sep</t>
        </is>
      </c>
      <c r="L68" s="26" t="inlineStr">
        <is>
          <t>Oct</t>
        </is>
      </c>
      <c r="M68" s="26" t="inlineStr">
        <is>
          <t>Nov</t>
        </is>
      </c>
      <c r="N68" s="26" t="inlineStr">
        <is>
          <t>Dic</t>
        </is>
      </c>
      <c r="O68" s="27" t="inlineStr">
        <is>
          <t>Total 2029</t>
        </is>
      </c>
    </row>
    <row r="69"/>
    <row r="70">
      <c r="B70" s="9" t="inlineStr">
        <is>
          <t>Embudo comercial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</row>
    <row r="71">
      <c r="A71" s="20" t="inlineStr">
        <is>
          <t>EMBUDO</t>
        </is>
      </c>
      <c r="B71" s="13" t="inlineStr">
        <is>
          <t>Visitas web</t>
        </is>
      </c>
      <c r="C71" s="28">
        <f>N41*(1+Hipótesis!$E$36)</f>
        <v/>
      </c>
      <c r="D71" s="28">
        <f>C71*(1+Hipótesis!$E$36)</f>
        <v/>
      </c>
      <c r="E71" s="28">
        <f>D71*(1+Hipótesis!$E$36)</f>
        <v/>
      </c>
      <c r="F71" s="28">
        <f>E71*(1+Hipótesis!$E$36)</f>
        <v/>
      </c>
      <c r="G71" s="28">
        <f>F71*(1+Hipótesis!$E$36)</f>
        <v/>
      </c>
      <c r="H71" s="28">
        <f>G71*(1+Hipótesis!$E$36)</f>
        <v/>
      </c>
      <c r="I71" s="28">
        <f>H71*(1+Hipótesis!$E$36)</f>
        <v/>
      </c>
      <c r="J71" s="28">
        <f>I71*(1+Hipótesis!$E$36)</f>
        <v/>
      </c>
      <c r="K71" s="28">
        <f>J71*(1+Hipótesis!$E$36)</f>
        <v/>
      </c>
      <c r="L71" s="28">
        <f>K71*(1+Hipótesis!$E$36)</f>
        <v/>
      </c>
      <c r="M71" s="28">
        <f>L71*(1+Hipótesis!$E$36)</f>
        <v/>
      </c>
      <c r="N71" s="28">
        <f>M71*(1+Hipótesis!$E$36)</f>
        <v/>
      </c>
      <c r="O71" s="29">
        <f>SUM(C71:N71)</f>
        <v/>
      </c>
    </row>
    <row r="72">
      <c r="B72" s="13" t="inlineStr">
        <is>
          <t xml:space="preserve">    Pruebas gratuitas iniciadas</t>
        </is>
      </c>
      <c r="C72" s="25">
        <f>C71*Hipótesis!$C$37</f>
        <v/>
      </c>
      <c r="D72" s="25">
        <f>D71*Hipótesis!$C$37</f>
        <v/>
      </c>
      <c r="E72" s="25">
        <f>E71*Hipótesis!$C$37</f>
        <v/>
      </c>
      <c r="F72" s="25">
        <f>F71*Hipótesis!$C$37</f>
        <v/>
      </c>
      <c r="G72" s="25">
        <f>G71*Hipótesis!$C$37</f>
        <v/>
      </c>
      <c r="H72" s="25">
        <f>H71*Hipótesis!$C$37</f>
        <v/>
      </c>
      <c r="I72" s="25">
        <f>I71*Hipótesis!$C$37</f>
        <v/>
      </c>
      <c r="J72" s="25">
        <f>J71*Hipótesis!$C$37</f>
        <v/>
      </c>
      <c r="K72" s="25">
        <f>K71*Hipótesis!$C$37</f>
        <v/>
      </c>
      <c r="L72" s="25">
        <f>L71*Hipótesis!$C$37</f>
        <v/>
      </c>
      <c r="M72" s="25">
        <f>M71*Hipótesis!$C$37</f>
        <v/>
      </c>
      <c r="N72" s="25">
        <f>N71*Hipótesis!$C$37</f>
        <v/>
      </c>
      <c r="O72" s="30">
        <f>SUM(C72:N72)</f>
        <v/>
      </c>
    </row>
    <row r="73">
      <c r="B73" s="20" t="inlineStr">
        <is>
          <t xml:space="preserve">    Clientes nuevos por embudo directo</t>
        </is>
      </c>
      <c r="C73" s="31">
        <f>IF(25&lt;Hipótesis!$C$44,0,C72*Hipótesis!$C$38)</f>
        <v/>
      </c>
      <c r="D73" s="31">
        <f>IF(26&lt;Hipótesis!$C$44,0,D72*Hipótesis!$C$38)</f>
        <v/>
      </c>
      <c r="E73" s="31">
        <f>IF(27&lt;Hipótesis!$C$44,0,E72*Hipótesis!$C$38)</f>
        <v/>
      </c>
      <c r="F73" s="31">
        <f>IF(28&lt;Hipótesis!$C$44,0,F72*Hipótesis!$C$38)</f>
        <v/>
      </c>
      <c r="G73" s="31">
        <f>IF(29&lt;Hipótesis!$C$44,0,G72*Hipótesis!$C$38)</f>
        <v/>
      </c>
      <c r="H73" s="31">
        <f>IF(30&lt;Hipótesis!$C$44,0,H72*Hipótesis!$C$38)</f>
        <v/>
      </c>
      <c r="I73" s="31">
        <f>IF(31&lt;Hipótesis!$C$44,0,I72*Hipótesis!$C$38)</f>
        <v/>
      </c>
      <c r="J73" s="31">
        <f>IF(32&lt;Hipótesis!$C$44,0,J72*Hipótesis!$C$38)</f>
        <v/>
      </c>
      <c r="K73" s="31">
        <f>IF(33&lt;Hipótesis!$C$44,0,K72*Hipótesis!$C$38)</f>
        <v/>
      </c>
      <c r="L73" s="31">
        <f>IF(34&lt;Hipótesis!$C$44,0,L72*Hipótesis!$C$38)</f>
        <v/>
      </c>
      <c r="M73" s="31">
        <f>IF(35&lt;Hipótesis!$C$44,0,M72*Hipótesis!$C$38)</f>
        <v/>
      </c>
      <c r="N73" s="31">
        <f>IF(36&lt;Hipótesis!$C$44,0,N72*Hipótesis!$C$38)</f>
        <v/>
      </c>
      <c r="O73" s="30">
        <f>SUM(C73:N73)</f>
        <v/>
      </c>
    </row>
    <row r="74"/>
    <row r="75">
      <c r="B75" s="9" t="inlineStr">
        <is>
          <t>Plan Inicial — Segmento A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</row>
    <row r="76">
      <c r="A76" s="20" t="inlineStr">
        <is>
          <t>PLAN INICIAL</t>
        </is>
      </c>
      <c r="B76" s="13" t="inlineStr">
        <is>
          <t>Base al inicio del mes</t>
        </is>
      </c>
      <c r="C76" s="25">
        <f>N50</f>
        <v/>
      </c>
      <c r="D76" s="25">
        <f>C80</f>
        <v/>
      </c>
      <c r="E76" s="25">
        <f>D80</f>
        <v/>
      </c>
      <c r="F76" s="25">
        <f>E80</f>
        <v/>
      </c>
      <c r="G76" s="25">
        <f>F80</f>
        <v/>
      </c>
      <c r="H76" s="25">
        <f>G80</f>
        <v/>
      </c>
      <c r="I76" s="25">
        <f>H80</f>
        <v/>
      </c>
      <c r="J76" s="25">
        <f>I80</f>
        <v/>
      </c>
      <c r="K76" s="25">
        <f>J80</f>
        <v/>
      </c>
      <c r="L76" s="25">
        <f>K80</f>
        <v/>
      </c>
      <c r="M76" s="25">
        <f>L80</f>
        <v/>
      </c>
      <c r="N76" s="25">
        <f>M80</f>
        <v/>
      </c>
    </row>
    <row r="77">
      <c r="B77" s="13" t="inlineStr">
        <is>
          <t xml:space="preserve">    Altas por embudo directo</t>
        </is>
      </c>
      <c r="C77" s="25">
        <f>C73</f>
        <v/>
      </c>
      <c r="D77" s="25">
        <f>D73</f>
        <v/>
      </c>
      <c r="E77" s="25">
        <f>E73</f>
        <v/>
      </c>
      <c r="F77" s="25">
        <f>F73</f>
        <v/>
      </c>
      <c r="G77" s="25">
        <f>G73</f>
        <v/>
      </c>
      <c r="H77" s="25">
        <f>H73</f>
        <v/>
      </c>
      <c r="I77" s="25">
        <f>I73</f>
        <v/>
      </c>
      <c r="J77" s="25">
        <f>J73</f>
        <v/>
      </c>
      <c r="K77" s="25">
        <f>K73</f>
        <v/>
      </c>
      <c r="L77" s="25">
        <f>L73</f>
        <v/>
      </c>
      <c r="M77" s="25">
        <f>M73</f>
        <v/>
      </c>
      <c r="N77" s="25">
        <f>N73</f>
        <v/>
      </c>
      <c r="O77" s="30">
        <f>SUM(C77:N77)</f>
        <v/>
      </c>
    </row>
    <row r="78">
      <c r="B78" s="13" t="inlineStr">
        <is>
          <t xml:space="preserve">    Altas por conversión de pilotos</t>
        </is>
      </c>
      <c r="C78" s="25">
        <f>IF(AND(25=Hipótesis!$C$44,3=1),Hipótesis!$C$42*Hipótesis!$C$43,0)</f>
        <v/>
      </c>
      <c r="D78" s="25">
        <f>IF(AND(26=Hipótesis!$C$44,3=1),Hipótesis!$C$42*Hipótesis!$C$43,0)</f>
        <v/>
      </c>
      <c r="E78" s="25">
        <f>IF(AND(27=Hipótesis!$C$44,3=1),Hipótesis!$C$42*Hipótesis!$C$43,0)</f>
        <v/>
      </c>
      <c r="F78" s="25">
        <f>IF(AND(28=Hipótesis!$C$44,3=1),Hipótesis!$C$42*Hipótesis!$C$43,0)</f>
        <v/>
      </c>
      <c r="G78" s="25">
        <f>IF(AND(29=Hipótesis!$C$44,3=1),Hipótesis!$C$42*Hipótesis!$C$43,0)</f>
        <v/>
      </c>
      <c r="H78" s="25">
        <f>IF(AND(30=Hipótesis!$C$44,3=1),Hipótesis!$C$42*Hipótesis!$C$43,0)</f>
        <v/>
      </c>
      <c r="I78" s="25">
        <f>IF(AND(31=Hipótesis!$C$44,3=1),Hipótesis!$C$42*Hipótesis!$C$43,0)</f>
        <v/>
      </c>
      <c r="J78" s="25">
        <f>IF(AND(32=Hipótesis!$C$44,3=1),Hipótesis!$C$42*Hipótesis!$C$43,0)</f>
        <v/>
      </c>
      <c r="K78" s="25">
        <f>IF(AND(33=Hipótesis!$C$44,3=1),Hipótesis!$C$42*Hipótesis!$C$43,0)</f>
        <v/>
      </c>
      <c r="L78" s="25">
        <f>IF(AND(34=Hipótesis!$C$44,3=1),Hipótesis!$C$42*Hipótesis!$C$43,0)</f>
        <v/>
      </c>
      <c r="M78" s="25">
        <f>IF(AND(35=Hipótesis!$C$44,3=1),Hipótesis!$C$42*Hipótesis!$C$43,0)</f>
        <v/>
      </c>
      <c r="N78" s="25">
        <f>IF(AND(36=Hipótesis!$C$44,3=1),Hipótesis!$C$42*Hipótesis!$C$43,0)</f>
        <v/>
      </c>
      <c r="O78" s="30">
        <f>SUM(C78:N78)</f>
        <v/>
      </c>
    </row>
    <row r="79">
      <c r="B79" s="13" t="inlineStr">
        <is>
          <t xml:space="preserve">    Bajas</t>
        </is>
      </c>
      <c r="C79" s="25">
        <f>-C76*Hipótesis!$E$50</f>
        <v/>
      </c>
      <c r="D79" s="25">
        <f>-D76*Hipótesis!$E$50</f>
        <v/>
      </c>
      <c r="E79" s="25">
        <f>-E76*Hipótesis!$E$50</f>
        <v/>
      </c>
      <c r="F79" s="25">
        <f>-F76*Hipótesis!$E$50</f>
        <v/>
      </c>
      <c r="G79" s="25">
        <f>-G76*Hipótesis!$E$50</f>
        <v/>
      </c>
      <c r="H79" s="25">
        <f>-H76*Hipótesis!$E$50</f>
        <v/>
      </c>
      <c r="I79" s="25">
        <f>-I76*Hipótesis!$E$50</f>
        <v/>
      </c>
      <c r="J79" s="25">
        <f>-J76*Hipótesis!$E$50</f>
        <v/>
      </c>
      <c r="K79" s="25">
        <f>-K76*Hipótesis!$E$50</f>
        <v/>
      </c>
      <c r="L79" s="25">
        <f>-L76*Hipótesis!$E$50</f>
        <v/>
      </c>
      <c r="M79" s="25">
        <f>-M76*Hipótesis!$E$50</f>
        <v/>
      </c>
      <c r="N79" s="25">
        <f>-N76*Hipótesis!$E$50</f>
        <v/>
      </c>
      <c r="O79" s="30">
        <f>SUM(C79:N79)</f>
        <v/>
      </c>
    </row>
    <row r="80">
      <c r="B80" s="20" t="inlineStr">
        <is>
          <t>Base activa al cierre</t>
        </is>
      </c>
      <c r="C80" s="31">
        <f>SUM(C76:C79)</f>
        <v/>
      </c>
      <c r="D80" s="31">
        <f>SUM(D76:D79)</f>
        <v/>
      </c>
      <c r="E80" s="31">
        <f>SUM(E76:E79)</f>
        <v/>
      </c>
      <c r="F80" s="31">
        <f>SUM(F76:F79)</f>
        <v/>
      </c>
      <c r="G80" s="31">
        <f>SUM(G76:G79)</f>
        <v/>
      </c>
      <c r="H80" s="31">
        <f>SUM(H76:H79)</f>
        <v/>
      </c>
      <c r="I80" s="31">
        <f>SUM(I76:I79)</f>
        <v/>
      </c>
      <c r="J80" s="31">
        <f>SUM(J76:J79)</f>
        <v/>
      </c>
      <c r="K80" s="31">
        <f>SUM(K76:K79)</f>
        <v/>
      </c>
      <c r="L80" s="31">
        <f>SUM(L76:L79)</f>
        <v/>
      </c>
      <c r="M80" s="31">
        <f>SUM(M76:M79)</f>
        <v/>
      </c>
      <c r="N80" s="31">
        <f>SUM(N76:N79)</f>
        <v/>
      </c>
      <c r="O80" s="30">
        <f>N80</f>
        <v/>
      </c>
    </row>
    <row r="81"/>
    <row r="82">
      <c r="B82" s="9" t="inlineStr">
        <is>
          <t>Plan Estándar — Segmento B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</row>
    <row r="83">
      <c r="A83" s="20" t="inlineStr">
        <is>
          <t>PLAN ESTÁNDAR</t>
        </is>
      </c>
      <c r="B83" s="13" t="inlineStr">
        <is>
          <t>Base al inicio del mes</t>
        </is>
      </c>
      <c r="C83" s="25">
        <f>N56</f>
        <v/>
      </c>
      <c r="D83" s="25">
        <f>C86</f>
        <v/>
      </c>
      <c r="E83" s="25">
        <f>D86</f>
        <v/>
      </c>
      <c r="F83" s="25">
        <f>E86</f>
        <v/>
      </c>
      <c r="G83" s="25">
        <f>F86</f>
        <v/>
      </c>
      <c r="H83" s="25">
        <f>G86</f>
        <v/>
      </c>
      <c r="I83" s="25">
        <f>H86</f>
        <v/>
      </c>
      <c r="J83" s="25">
        <f>I86</f>
        <v/>
      </c>
      <c r="K83" s="25">
        <f>J86</f>
        <v/>
      </c>
      <c r="L83" s="25">
        <f>K86</f>
        <v/>
      </c>
      <c r="M83" s="25">
        <f>L86</f>
        <v/>
      </c>
      <c r="N83" s="25">
        <f>M86</f>
        <v/>
      </c>
    </row>
    <row r="84">
      <c r="B84" s="13" t="inlineStr">
        <is>
          <t xml:space="preserve">    Altas</t>
        </is>
      </c>
      <c r="C84" s="25">
        <f>IF(25&lt;9,0,Hipótesis!$E$47/IF(3=1,4,12))</f>
        <v/>
      </c>
      <c r="D84" s="25">
        <f>IF(26&lt;9,0,Hipótesis!$E$47/IF(3=1,4,12))</f>
        <v/>
      </c>
      <c r="E84" s="25">
        <f>IF(27&lt;9,0,Hipótesis!$E$47/IF(3=1,4,12))</f>
        <v/>
      </c>
      <c r="F84" s="25">
        <f>IF(28&lt;9,0,Hipótesis!$E$47/IF(3=1,4,12))</f>
        <v/>
      </c>
      <c r="G84" s="25">
        <f>IF(29&lt;9,0,Hipótesis!$E$47/IF(3=1,4,12))</f>
        <v/>
      </c>
      <c r="H84" s="25">
        <f>IF(30&lt;9,0,Hipótesis!$E$47/IF(3=1,4,12))</f>
        <v/>
      </c>
      <c r="I84" s="25">
        <f>IF(31&lt;9,0,Hipótesis!$E$47/IF(3=1,4,12))</f>
        <v/>
      </c>
      <c r="J84" s="25">
        <f>IF(32&lt;9,0,Hipótesis!$E$47/IF(3=1,4,12))</f>
        <v/>
      </c>
      <c r="K84" s="25">
        <f>IF(33&lt;9,0,Hipótesis!$E$47/IF(3=1,4,12))</f>
        <v/>
      </c>
      <c r="L84" s="25">
        <f>IF(34&lt;9,0,Hipótesis!$E$47/IF(3=1,4,12))</f>
        <v/>
      </c>
      <c r="M84" s="25">
        <f>IF(35&lt;9,0,Hipótesis!$E$47/IF(3=1,4,12))</f>
        <v/>
      </c>
      <c r="N84" s="25">
        <f>IF(36&lt;9,0,Hipótesis!$E$47/IF(3=1,4,12))</f>
        <v/>
      </c>
      <c r="O84" s="30">
        <f>SUM(C84:N84)</f>
        <v/>
      </c>
    </row>
    <row r="85">
      <c r="B85" s="13" t="inlineStr">
        <is>
          <t xml:space="preserve">    Bajas</t>
        </is>
      </c>
      <c r="C85" s="25">
        <f>-C83*Hipótesis!$E$50</f>
        <v/>
      </c>
      <c r="D85" s="25">
        <f>-D83*Hipótesis!$E$50</f>
        <v/>
      </c>
      <c r="E85" s="25">
        <f>-E83*Hipótesis!$E$50</f>
        <v/>
      </c>
      <c r="F85" s="25">
        <f>-F83*Hipótesis!$E$50</f>
        <v/>
      </c>
      <c r="G85" s="25">
        <f>-G83*Hipótesis!$E$50</f>
        <v/>
      </c>
      <c r="H85" s="25">
        <f>-H83*Hipótesis!$E$50</f>
        <v/>
      </c>
      <c r="I85" s="25">
        <f>-I83*Hipótesis!$E$50</f>
        <v/>
      </c>
      <c r="J85" s="25">
        <f>-J83*Hipótesis!$E$50</f>
        <v/>
      </c>
      <c r="K85" s="25">
        <f>-K83*Hipótesis!$E$50</f>
        <v/>
      </c>
      <c r="L85" s="25">
        <f>-L83*Hipótesis!$E$50</f>
        <v/>
      </c>
      <c r="M85" s="25">
        <f>-M83*Hipótesis!$E$50</f>
        <v/>
      </c>
      <c r="N85" s="25">
        <f>-N83*Hipótesis!$E$50</f>
        <v/>
      </c>
      <c r="O85" s="30">
        <f>SUM(C85:N85)</f>
        <v/>
      </c>
    </row>
    <row r="86">
      <c r="B86" s="20" t="inlineStr">
        <is>
          <t>Base activa al cierre</t>
        </is>
      </c>
      <c r="C86" s="31">
        <f>SUM(C83:C85)</f>
        <v/>
      </c>
      <c r="D86" s="31">
        <f>SUM(D83:D85)</f>
        <v/>
      </c>
      <c r="E86" s="31">
        <f>SUM(E83:E85)</f>
        <v/>
      </c>
      <c r="F86" s="31">
        <f>SUM(F83:F85)</f>
        <v/>
      </c>
      <c r="G86" s="31">
        <f>SUM(G83:G85)</f>
        <v/>
      </c>
      <c r="H86" s="31">
        <f>SUM(H83:H85)</f>
        <v/>
      </c>
      <c r="I86" s="31">
        <f>SUM(I83:I85)</f>
        <v/>
      </c>
      <c r="J86" s="31">
        <f>SUM(J83:J85)</f>
        <v/>
      </c>
      <c r="K86" s="31">
        <f>SUM(K83:K85)</f>
        <v/>
      </c>
      <c r="L86" s="31">
        <f>SUM(L83:L85)</f>
        <v/>
      </c>
      <c r="M86" s="31">
        <f>SUM(M83:M85)</f>
        <v/>
      </c>
      <c r="N86" s="31">
        <f>SUM(N83:N85)</f>
        <v/>
      </c>
      <c r="O86" s="30">
        <f>N86</f>
        <v/>
      </c>
    </row>
    <row r="87"/>
    <row r="88">
      <c r="B88" s="9" t="inlineStr">
        <is>
          <t>Plan Partner — Segmento C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</row>
    <row r="89">
      <c r="A89" s="20" t="inlineStr">
        <is>
          <t>PLAN PARTNER</t>
        </is>
      </c>
      <c r="B89" s="13" t="inlineStr">
        <is>
          <t>Partners activos</t>
        </is>
      </c>
      <c r="C89" s="28">
        <f>ROUND(Hipótesis!$D$45+(Hipótesis!$E$45-Hipótesis!$D$45)*1/12,0)</f>
        <v/>
      </c>
      <c r="D89" s="28">
        <f>ROUND(Hipótesis!$D$45+(Hipótesis!$E$45-Hipótesis!$D$45)*2/12,0)</f>
        <v/>
      </c>
      <c r="E89" s="28">
        <f>ROUND(Hipótesis!$D$45+(Hipótesis!$E$45-Hipótesis!$D$45)*3/12,0)</f>
        <v/>
      </c>
      <c r="F89" s="28">
        <f>ROUND(Hipótesis!$D$45+(Hipótesis!$E$45-Hipótesis!$D$45)*4/12,0)</f>
        <v/>
      </c>
      <c r="G89" s="28">
        <f>ROUND(Hipótesis!$D$45+(Hipótesis!$E$45-Hipótesis!$D$45)*5/12,0)</f>
        <v/>
      </c>
      <c r="H89" s="28">
        <f>ROUND(Hipótesis!$D$45+(Hipótesis!$E$45-Hipótesis!$D$45)*6/12,0)</f>
        <v/>
      </c>
      <c r="I89" s="28">
        <f>ROUND(Hipótesis!$D$45+(Hipótesis!$E$45-Hipótesis!$D$45)*7/12,0)</f>
        <v/>
      </c>
      <c r="J89" s="28">
        <f>ROUND(Hipótesis!$D$45+(Hipótesis!$E$45-Hipótesis!$D$45)*8/12,0)</f>
        <v/>
      </c>
      <c r="K89" s="28">
        <f>ROUND(Hipótesis!$D$45+(Hipótesis!$E$45-Hipótesis!$D$45)*9/12,0)</f>
        <v/>
      </c>
      <c r="L89" s="28">
        <f>ROUND(Hipótesis!$D$45+(Hipótesis!$E$45-Hipótesis!$D$45)*10/12,0)</f>
        <v/>
      </c>
      <c r="M89" s="28">
        <f>ROUND(Hipótesis!$D$45+(Hipótesis!$E$45-Hipótesis!$D$45)*11/12,0)</f>
        <v/>
      </c>
      <c r="N89" s="28">
        <f>ROUND(Hipótesis!$D$45+(Hipótesis!$E$45-Hipótesis!$D$45)*12/12,0)</f>
        <v/>
      </c>
      <c r="O89" s="29">
        <f>N89</f>
        <v/>
      </c>
    </row>
    <row r="90">
      <c r="B90" s="20" t="inlineStr">
        <is>
          <t>Clientes gestionados por el canal</t>
        </is>
      </c>
      <c r="C90" s="31">
        <f>IF(25&lt;Hipótesis!$C$44,0,C89*Hipótesis!$E$46)</f>
        <v/>
      </c>
      <c r="D90" s="31">
        <f>IF(26&lt;Hipótesis!$C$44,0,D89*Hipótesis!$E$46)</f>
        <v/>
      </c>
      <c r="E90" s="31">
        <f>IF(27&lt;Hipótesis!$C$44,0,E89*Hipótesis!$E$46)</f>
        <v/>
      </c>
      <c r="F90" s="31">
        <f>IF(28&lt;Hipótesis!$C$44,0,F89*Hipótesis!$E$46)</f>
        <v/>
      </c>
      <c r="G90" s="31">
        <f>IF(29&lt;Hipótesis!$C$44,0,G89*Hipótesis!$E$46)</f>
        <v/>
      </c>
      <c r="H90" s="31">
        <f>IF(30&lt;Hipótesis!$C$44,0,H89*Hipótesis!$E$46)</f>
        <v/>
      </c>
      <c r="I90" s="31">
        <f>IF(31&lt;Hipótesis!$C$44,0,I89*Hipótesis!$E$46)</f>
        <v/>
      </c>
      <c r="J90" s="31">
        <f>IF(32&lt;Hipótesis!$C$44,0,J89*Hipótesis!$E$46)</f>
        <v/>
      </c>
      <c r="K90" s="31">
        <f>IF(33&lt;Hipótesis!$C$44,0,K89*Hipótesis!$E$46)</f>
        <v/>
      </c>
      <c r="L90" s="31">
        <f>IF(34&lt;Hipótesis!$C$44,0,L89*Hipótesis!$E$46)</f>
        <v/>
      </c>
      <c r="M90" s="31">
        <f>IF(35&lt;Hipótesis!$C$44,0,M89*Hipótesis!$E$46)</f>
        <v/>
      </c>
      <c r="N90" s="31">
        <f>IF(36&lt;Hipótesis!$C$44,0,N89*Hipótesis!$E$46)</f>
        <v/>
      </c>
      <c r="O90" s="30">
        <f>N90</f>
        <v/>
      </c>
    </row>
    <row r="91"/>
    <row r="92">
      <c r="B92" s="9" t="inlineStr">
        <is>
          <t>Consolidado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</row>
    <row r="93">
      <c r="A93" s="20" t="inlineStr">
        <is>
          <t>TOTAL</t>
        </is>
      </c>
      <c r="B93" s="20" t="inlineStr">
        <is>
          <t>Clientes pagos activos</t>
        </is>
      </c>
      <c r="C93" s="31">
        <f>C80+C86+C90</f>
        <v/>
      </c>
      <c r="D93" s="31">
        <f>D80+D86+D90</f>
        <v/>
      </c>
      <c r="E93" s="31">
        <f>E80+E86+E90</f>
        <v/>
      </c>
      <c r="F93" s="31">
        <f>F80+F86+F90</f>
        <v/>
      </c>
      <c r="G93" s="31">
        <f>G80+G86+G90</f>
        <v/>
      </c>
      <c r="H93" s="31">
        <f>H80+H86+H90</f>
        <v/>
      </c>
      <c r="I93" s="31">
        <f>I80+I86+I90</f>
        <v/>
      </c>
      <c r="J93" s="31">
        <f>J80+J86+J90</f>
        <v/>
      </c>
      <c r="K93" s="31">
        <f>K80+K86+K90</f>
        <v/>
      </c>
      <c r="L93" s="31">
        <f>L80+L86+L90</f>
        <v/>
      </c>
      <c r="M93" s="31">
        <f>M80+M86+M90</f>
        <v/>
      </c>
      <c r="N93" s="31">
        <f>N80+N86+N90</f>
        <v/>
      </c>
      <c r="O93" s="30">
        <f>N93</f>
        <v/>
      </c>
    </row>
    <row r="94">
      <c r="B94" s="20" t="inlineStr">
        <is>
          <t>Equipos administrados</t>
        </is>
      </c>
      <c r="C94" s="18">
        <f>C80*Hipótesis!$E$51+C86*Hipótesis!$E$52+C90*Hipótesis!$E$53</f>
        <v/>
      </c>
      <c r="D94" s="18">
        <f>D80*Hipótesis!$E$51+D86*Hipótesis!$E$52+D90*Hipótesis!$E$53</f>
        <v/>
      </c>
      <c r="E94" s="18">
        <f>E80*Hipótesis!$E$51+E86*Hipótesis!$E$52+E90*Hipótesis!$E$53</f>
        <v/>
      </c>
      <c r="F94" s="18">
        <f>F80*Hipótesis!$E$51+F86*Hipótesis!$E$52+F90*Hipótesis!$E$53</f>
        <v/>
      </c>
      <c r="G94" s="18">
        <f>G80*Hipótesis!$E$51+G86*Hipótesis!$E$52+G90*Hipótesis!$E$53</f>
        <v/>
      </c>
      <c r="H94" s="18">
        <f>H80*Hipótesis!$E$51+H86*Hipótesis!$E$52+H90*Hipótesis!$E$53</f>
        <v/>
      </c>
      <c r="I94" s="18">
        <f>I80*Hipótesis!$E$51+I86*Hipótesis!$E$52+I90*Hipótesis!$E$53</f>
        <v/>
      </c>
      <c r="J94" s="18">
        <f>J80*Hipótesis!$E$51+J86*Hipótesis!$E$52+J90*Hipótesis!$E$53</f>
        <v/>
      </c>
      <c r="K94" s="18">
        <f>K80*Hipótesis!$E$51+K86*Hipótesis!$E$52+K90*Hipótesis!$E$53</f>
        <v/>
      </c>
      <c r="L94" s="18">
        <f>L80*Hipótesis!$E$51+L86*Hipótesis!$E$52+L90*Hipótesis!$E$53</f>
        <v/>
      </c>
      <c r="M94" s="18">
        <f>M80*Hipótesis!$E$51+M86*Hipótesis!$E$52+M90*Hipótesis!$E$53</f>
        <v/>
      </c>
      <c r="N94" s="18">
        <f>N80*Hipótesis!$E$51+N86*Hipótesis!$E$52+N90*Hipótesis!$E$53</f>
        <v/>
      </c>
      <c r="O94" s="29">
        <f>N94</f>
        <v/>
      </c>
    </row>
    <row r="95"/>
    <row r="96"/>
    <row r="97">
      <c r="C97" s="5" t="n">
        <v>2030</v>
      </c>
    </row>
    <row r="98">
      <c r="C98" s="26" t="inlineStr">
        <is>
          <t>Ene</t>
        </is>
      </c>
      <c r="D98" s="26" t="inlineStr">
        <is>
          <t>Feb</t>
        </is>
      </c>
      <c r="E98" s="26" t="inlineStr">
        <is>
          <t>Mar</t>
        </is>
      </c>
      <c r="F98" s="26" t="inlineStr">
        <is>
          <t>Abr</t>
        </is>
      </c>
      <c r="G98" s="26" t="inlineStr">
        <is>
          <t>May</t>
        </is>
      </c>
      <c r="H98" s="26" t="inlineStr">
        <is>
          <t>Jun</t>
        </is>
      </c>
      <c r="I98" s="26" t="inlineStr">
        <is>
          <t>Jul</t>
        </is>
      </c>
      <c r="J98" s="26" t="inlineStr">
        <is>
          <t>Ago</t>
        </is>
      </c>
      <c r="K98" s="26" t="inlineStr">
        <is>
          <t>Sep</t>
        </is>
      </c>
      <c r="L98" s="26" t="inlineStr">
        <is>
          <t>Oct</t>
        </is>
      </c>
      <c r="M98" s="26" t="inlineStr">
        <is>
          <t>Nov</t>
        </is>
      </c>
      <c r="N98" s="26" t="inlineStr">
        <is>
          <t>Dic</t>
        </is>
      </c>
      <c r="O98" s="27" t="inlineStr">
        <is>
          <t>Total 2030</t>
        </is>
      </c>
    </row>
    <row r="99"/>
    <row r="100">
      <c r="B100" s="9" t="inlineStr">
        <is>
          <t>Embudo comercial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</row>
    <row r="101">
      <c r="A101" s="20" t="inlineStr">
        <is>
          <t>EMBUDO</t>
        </is>
      </c>
      <c r="B101" s="13" t="inlineStr">
        <is>
          <t>Visitas web</t>
        </is>
      </c>
      <c r="C101" s="28">
        <f>N71*(1+Hipótesis!$F$36)</f>
        <v/>
      </c>
      <c r="D101" s="28">
        <f>C101*(1+Hipótesis!$F$36)</f>
        <v/>
      </c>
      <c r="E101" s="28">
        <f>D101*(1+Hipótesis!$F$36)</f>
        <v/>
      </c>
      <c r="F101" s="28">
        <f>E101*(1+Hipótesis!$F$36)</f>
        <v/>
      </c>
      <c r="G101" s="28">
        <f>F101*(1+Hipótesis!$F$36)</f>
        <v/>
      </c>
      <c r="H101" s="28">
        <f>G101*(1+Hipótesis!$F$36)</f>
        <v/>
      </c>
      <c r="I101" s="28">
        <f>H101*(1+Hipótesis!$F$36)</f>
        <v/>
      </c>
      <c r="J101" s="28">
        <f>I101*(1+Hipótesis!$F$36)</f>
        <v/>
      </c>
      <c r="K101" s="28">
        <f>J101*(1+Hipótesis!$F$36)</f>
        <v/>
      </c>
      <c r="L101" s="28">
        <f>K101*(1+Hipótesis!$F$36)</f>
        <v/>
      </c>
      <c r="M101" s="28">
        <f>L101*(1+Hipótesis!$F$36)</f>
        <v/>
      </c>
      <c r="N101" s="28">
        <f>M101*(1+Hipótesis!$F$36)</f>
        <v/>
      </c>
      <c r="O101" s="29">
        <f>SUM(C101:N101)</f>
        <v/>
      </c>
    </row>
    <row r="102">
      <c r="B102" s="13" t="inlineStr">
        <is>
          <t xml:space="preserve">    Pruebas gratuitas iniciadas</t>
        </is>
      </c>
      <c r="C102" s="25">
        <f>C101*Hipótesis!$C$37</f>
        <v/>
      </c>
      <c r="D102" s="25">
        <f>D101*Hipótesis!$C$37</f>
        <v/>
      </c>
      <c r="E102" s="25">
        <f>E101*Hipótesis!$C$37</f>
        <v/>
      </c>
      <c r="F102" s="25">
        <f>F101*Hipótesis!$C$37</f>
        <v/>
      </c>
      <c r="G102" s="25">
        <f>G101*Hipótesis!$C$37</f>
        <v/>
      </c>
      <c r="H102" s="25">
        <f>H101*Hipótesis!$C$37</f>
        <v/>
      </c>
      <c r="I102" s="25">
        <f>I101*Hipótesis!$C$37</f>
        <v/>
      </c>
      <c r="J102" s="25">
        <f>J101*Hipótesis!$C$37</f>
        <v/>
      </c>
      <c r="K102" s="25">
        <f>K101*Hipótesis!$C$37</f>
        <v/>
      </c>
      <c r="L102" s="25">
        <f>L101*Hipótesis!$C$37</f>
        <v/>
      </c>
      <c r="M102" s="25">
        <f>M101*Hipótesis!$C$37</f>
        <v/>
      </c>
      <c r="N102" s="25">
        <f>N101*Hipótesis!$C$37</f>
        <v/>
      </c>
      <c r="O102" s="30">
        <f>SUM(C102:N102)</f>
        <v/>
      </c>
    </row>
    <row r="103">
      <c r="B103" s="20" t="inlineStr">
        <is>
          <t xml:space="preserve">    Clientes nuevos por embudo directo</t>
        </is>
      </c>
      <c r="C103" s="31">
        <f>IF(37&lt;Hipótesis!$C$44,0,C102*Hipótesis!$C$38)</f>
        <v/>
      </c>
      <c r="D103" s="31">
        <f>IF(38&lt;Hipótesis!$C$44,0,D102*Hipótesis!$C$38)</f>
        <v/>
      </c>
      <c r="E103" s="31">
        <f>IF(39&lt;Hipótesis!$C$44,0,E102*Hipótesis!$C$38)</f>
        <v/>
      </c>
      <c r="F103" s="31">
        <f>IF(40&lt;Hipótesis!$C$44,0,F102*Hipótesis!$C$38)</f>
        <v/>
      </c>
      <c r="G103" s="31">
        <f>IF(41&lt;Hipótesis!$C$44,0,G102*Hipótesis!$C$38)</f>
        <v/>
      </c>
      <c r="H103" s="31">
        <f>IF(42&lt;Hipótesis!$C$44,0,H102*Hipótesis!$C$38)</f>
        <v/>
      </c>
      <c r="I103" s="31">
        <f>IF(43&lt;Hipótesis!$C$44,0,I102*Hipótesis!$C$38)</f>
        <v/>
      </c>
      <c r="J103" s="31">
        <f>IF(44&lt;Hipótesis!$C$44,0,J102*Hipótesis!$C$38)</f>
        <v/>
      </c>
      <c r="K103" s="31">
        <f>IF(45&lt;Hipótesis!$C$44,0,K102*Hipótesis!$C$38)</f>
        <v/>
      </c>
      <c r="L103" s="31">
        <f>IF(46&lt;Hipótesis!$C$44,0,L102*Hipótesis!$C$38)</f>
        <v/>
      </c>
      <c r="M103" s="31">
        <f>IF(47&lt;Hipótesis!$C$44,0,M102*Hipótesis!$C$38)</f>
        <v/>
      </c>
      <c r="N103" s="31">
        <f>IF(48&lt;Hipótesis!$C$44,0,N102*Hipótesis!$C$38)</f>
        <v/>
      </c>
      <c r="O103" s="30">
        <f>SUM(C103:N103)</f>
        <v/>
      </c>
    </row>
    <row r="104"/>
    <row r="105">
      <c r="B105" s="9" t="inlineStr">
        <is>
          <t>Plan Inicial — Segmento A</t>
        </is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</row>
    <row r="106">
      <c r="A106" s="20" t="inlineStr">
        <is>
          <t>PLAN INICIAL</t>
        </is>
      </c>
      <c r="B106" s="13" t="inlineStr">
        <is>
          <t>Base al inicio del mes</t>
        </is>
      </c>
      <c r="C106" s="25">
        <f>N80</f>
        <v/>
      </c>
      <c r="D106" s="25">
        <f>C110</f>
        <v/>
      </c>
      <c r="E106" s="25">
        <f>D110</f>
        <v/>
      </c>
      <c r="F106" s="25">
        <f>E110</f>
        <v/>
      </c>
      <c r="G106" s="25">
        <f>F110</f>
        <v/>
      </c>
      <c r="H106" s="25">
        <f>G110</f>
        <v/>
      </c>
      <c r="I106" s="25">
        <f>H110</f>
        <v/>
      </c>
      <c r="J106" s="25">
        <f>I110</f>
        <v/>
      </c>
      <c r="K106" s="25">
        <f>J110</f>
        <v/>
      </c>
      <c r="L106" s="25">
        <f>K110</f>
        <v/>
      </c>
      <c r="M106" s="25">
        <f>L110</f>
        <v/>
      </c>
      <c r="N106" s="25">
        <f>M110</f>
        <v/>
      </c>
    </row>
    <row r="107">
      <c r="B107" s="13" t="inlineStr">
        <is>
          <t xml:space="preserve">    Altas por embudo directo</t>
        </is>
      </c>
      <c r="C107" s="25">
        <f>C103</f>
        <v/>
      </c>
      <c r="D107" s="25">
        <f>D103</f>
        <v/>
      </c>
      <c r="E107" s="25">
        <f>E103</f>
        <v/>
      </c>
      <c r="F107" s="25">
        <f>F103</f>
        <v/>
      </c>
      <c r="G107" s="25">
        <f>G103</f>
        <v/>
      </c>
      <c r="H107" s="25">
        <f>H103</f>
        <v/>
      </c>
      <c r="I107" s="25">
        <f>I103</f>
        <v/>
      </c>
      <c r="J107" s="25">
        <f>J103</f>
        <v/>
      </c>
      <c r="K107" s="25">
        <f>K103</f>
        <v/>
      </c>
      <c r="L107" s="25">
        <f>L103</f>
        <v/>
      </c>
      <c r="M107" s="25">
        <f>M103</f>
        <v/>
      </c>
      <c r="N107" s="25">
        <f>N103</f>
        <v/>
      </c>
      <c r="O107" s="30">
        <f>SUM(C107:N107)</f>
        <v/>
      </c>
    </row>
    <row r="108">
      <c r="B108" s="13" t="inlineStr">
        <is>
          <t xml:space="preserve">    Altas por conversión de pilotos</t>
        </is>
      </c>
      <c r="C108" s="25">
        <f>IF(AND(37=Hipótesis!$C$44,4=1),Hipótesis!$C$42*Hipótesis!$C$43,0)</f>
        <v/>
      </c>
      <c r="D108" s="25">
        <f>IF(AND(38=Hipótesis!$C$44,4=1),Hipótesis!$C$42*Hipótesis!$C$43,0)</f>
        <v/>
      </c>
      <c r="E108" s="25">
        <f>IF(AND(39=Hipótesis!$C$44,4=1),Hipótesis!$C$42*Hipótesis!$C$43,0)</f>
        <v/>
      </c>
      <c r="F108" s="25">
        <f>IF(AND(40=Hipótesis!$C$44,4=1),Hipótesis!$C$42*Hipótesis!$C$43,0)</f>
        <v/>
      </c>
      <c r="G108" s="25">
        <f>IF(AND(41=Hipótesis!$C$44,4=1),Hipótesis!$C$42*Hipótesis!$C$43,0)</f>
        <v/>
      </c>
      <c r="H108" s="25">
        <f>IF(AND(42=Hipótesis!$C$44,4=1),Hipótesis!$C$42*Hipótesis!$C$43,0)</f>
        <v/>
      </c>
      <c r="I108" s="25">
        <f>IF(AND(43=Hipótesis!$C$44,4=1),Hipótesis!$C$42*Hipótesis!$C$43,0)</f>
        <v/>
      </c>
      <c r="J108" s="25">
        <f>IF(AND(44=Hipótesis!$C$44,4=1),Hipótesis!$C$42*Hipótesis!$C$43,0)</f>
        <v/>
      </c>
      <c r="K108" s="25">
        <f>IF(AND(45=Hipótesis!$C$44,4=1),Hipótesis!$C$42*Hipótesis!$C$43,0)</f>
        <v/>
      </c>
      <c r="L108" s="25">
        <f>IF(AND(46=Hipótesis!$C$44,4=1),Hipótesis!$C$42*Hipótesis!$C$43,0)</f>
        <v/>
      </c>
      <c r="M108" s="25">
        <f>IF(AND(47=Hipótesis!$C$44,4=1),Hipótesis!$C$42*Hipótesis!$C$43,0)</f>
        <v/>
      </c>
      <c r="N108" s="25">
        <f>IF(AND(48=Hipótesis!$C$44,4=1),Hipótesis!$C$42*Hipótesis!$C$43,0)</f>
        <v/>
      </c>
      <c r="O108" s="30">
        <f>SUM(C108:N108)</f>
        <v/>
      </c>
    </row>
    <row r="109">
      <c r="B109" s="13" t="inlineStr">
        <is>
          <t xml:space="preserve">    Bajas</t>
        </is>
      </c>
      <c r="C109" s="25">
        <f>-C106*Hipótesis!$F$50</f>
        <v/>
      </c>
      <c r="D109" s="25">
        <f>-D106*Hipótesis!$F$50</f>
        <v/>
      </c>
      <c r="E109" s="25">
        <f>-E106*Hipótesis!$F$50</f>
        <v/>
      </c>
      <c r="F109" s="25">
        <f>-F106*Hipótesis!$F$50</f>
        <v/>
      </c>
      <c r="G109" s="25">
        <f>-G106*Hipótesis!$F$50</f>
        <v/>
      </c>
      <c r="H109" s="25">
        <f>-H106*Hipótesis!$F$50</f>
        <v/>
      </c>
      <c r="I109" s="25">
        <f>-I106*Hipótesis!$F$50</f>
        <v/>
      </c>
      <c r="J109" s="25">
        <f>-J106*Hipótesis!$F$50</f>
        <v/>
      </c>
      <c r="K109" s="25">
        <f>-K106*Hipótesis!$F$50</f>
        <v/>
      </c>
      <c r="L109" s="25">
        <f>-L106*Hipótesis!$F$50</f>
        <v/>
      </c>
      <c r="M109" s="25">
        <f>-M106*Hipótesis!$F$50</f>
        <v/>
      </c>
      <c r="N109" s="25">
        <f>-N106*Hipótesis!$F$50</f>
        <v/>
      </c>
      <c r="O109" s="30">
        <f>SUM(C109:N109)</f>
        <v/>
      </c>
    </row>
    <row r="110">
      <c r="B110" s="20" t="inlineStr">
        <is>
          <t>Base activa al cierre</t>
        </is>
      </c>
      <c r="C110" s="31">
        <f>SUM(C106:C109)</f>
        <v/>
      </c>
      <c r="D110" s="31">
        <f>SUM(D106:D109)</f>
        <v/>
      </c>
      <c r="E110" s="31">
        <f>SUM(E106:E109)</f>
        <v/>
      </c>
      <c r="F110" s="31">
        <f>SUM(F106:F109)</f>
        <v/>
      </c>
      <c r="G110" s="31">
        <f>SUM(G106:G109)</f>
        <v/>
      </c>
      <c r="H110" s="31">
        <f>SUM(H106:H109)</f>
        <v/>
      </c>
      <c r="I110" s="31">
        <f>SUM(I106:I109)</f>
        <v/>
      </c>
      <c r="J110" s="31">
        <f>SUM(J106:J109)</f>
        <v/>
      </c>
      <c r="K110" s="31">
        <f>SUM(K106:K109)</f>
        <v/>
      </c>
      <c r="L110" s="31">
        <f>SUM(L106:L109)</f>
        <v/>
      </c>
      <c r="M110" s="31">
        <f>SUM(M106:M109)</f>
        <v/>
      </c>
      <c r="N110" s="31">
        <f>SUM(N106:N109)</f>
        <v/>
      </c>
      <c r="O110" s="30">
        <f>N110</f>
        <v/>
      </c>
    </row>
    <row r="111"/>
    <row r="112">
      <c r="B112" s="9" t="inlineStr">
        <is>
          <t>Plan Estándar — Segmento B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</row>
    <row r="113">
      <c r="A113" s="20" t="inlineStr">
        <is>
          <t>PLAN ESTÁNDAR</t>
        </is>
      </c>
      <c r="B113" s="13" t="inlineStr">
        <is>
          <t>Base al inicio del mes</t>
        </is>
      </c>
      <c r="C113" s="25">
        <f>N86</f>
        <v/>
      </c>
      <c r="D113" s="25">
        <f>C116</f>
        <v/>
      </c>
      <c r="E113" s="25">
        <f>D116</f>
        <v/>
      </c>
      <c r="F113" s="25">
        <f>E116</f>
        <v/>
      </c>
      <c r="G113" s="25">
        <f>F116</f>
        <v/>
      </c>
      <c r="H113" s="25">
        <f>G116</f>
        <v/>
      </c>
      <c r="I113" s="25">
        <f>H116</f>
        <v/>
      </c>
      <c r="J113" s="25">
        <f>I116</f>
        <v/>
      </c>
      <c r="K113" s="25">
        <f>J116</f>
        <v/>
      </c>
      <c r="L113" s="25">
        <f>K116</f>
        <v/>
      </c>
      <c r="M113" s="25">
        <f>L116</f>
        <v/>
      </c>
      <c r="N113" s="25">
        <f>M116</f>
        <v/>
      </c>
    </row>
    <row r="114">
      <c r="B114" s="13" t="inlineStr">
        <is>
          <t xml:space="preserve">    Altas</t>
        </is>
      </c>
      <c r="C114" s="25">
        <f>IF(37&lt;9,0,Hipótesis!$F$47/IF(4=1,4,12))</f>
        <v/>
      </c>
      <c r="D114" s="25">
        <f>IF(38&lt;9,0,Hipótesis!$F$47/IF(4=1,4,12))</f>
        <v/>
      </c>
      <c r="E114" s="25">
        <f>IF(39&lt;9,0,Hipótesis!$F$47/IF(4=1,4,12))</f>
        <v/>
      </c>
      <c r="F114" s="25">
        <f>IF(40&lt;9,0,Hipótesis!$F$47/IF(4=1,4,12))</f>
        <v/>
      </c>
      <c r="G114" s="25">
        <f>IF(41&lt;9,0,Hipótesis!$F$47/IF(4=1,4,12))</f>
        <v/>
      </c>
      <c r="H114" s="25">
        <f>IF(42&lt;9,0,Hipótesis!$F$47/IF(4=1,4,12))</f>
        <v/>
      </c>
      <c r="I114" s="25">
        <f>IF(43&lt;9,0,Hipótesis!$F$47/IF(4=1,4,12))</f>
        <v/>
      </c>
      <c r="J114" s="25">
        <f>IF(44&lt;9,0,Hipótesis!$F$47/IF(4=1,4,12))</f>
        <v/>
      </c>
      <c r="K114" s="25">
        <f>IF(45&lt;9,0,Hipótesis!$F$47/IF(4=1,4,12))</f>
        <v/>
      </c>
      <c r="L114" s="25">
        <f>IF(46&lt;9,0,Hipótesis!$F$47/IF(4=1,4,12))</f>
        <v/>
      </c>
      <c r="M114" s="25">
        <f>IF(47&lt;9,0,Hipótesis!$F$47/IF(4=1,4,12))</f>
        <v/>
      </c>
      <c r="N114" s="25">
        <f>IF(48&lt;9,0,Hipótesis!$F$47/IF(4=1,4,12))</f>
        <v/>
      </c>
      <c r="O114" s="30">
        <f>SUM(C114:N114)</f>
        <v/>
      </c>
    </row>
    <row r="115">
      <c r="B115" s="13" t="inlineStr">
        <is>
          <t xml:space="preserve">    Bajas</t>
        </is>
      </c>
      <c r="C115" s="25">
        <f>-C113*Hipótesis!$F$50</f>
        <v/>
      </c>
      <c r="D115" s="25">
        <f>-D113*Hipótesis!$F$50</f>
        <v/>
      </c>
      <c r="E115" s="25">
        <f>-E113*Hipótesis!$F$50</f>
        <v/>
      </c>
      <c r="F115" s="25">
        <f>-F113*Hipótesis!$F$50</f>
        <v/>
      </c>
      <c r="G115" s="25">
        <f>-G113*Hipótesis!$F$50</f>
        <v/>
      </c>
      <c r="H115" s="25">
        <f>-H113*Hipótesis!$F$50</f>
        <v/>
      </c>
      <c r="I115" s="25">
        <f>-I113*Hipótesis!$F$50</f>
        <v/>
      </c>
      <c r="J115" s="25">
        <f>-J113*Hipótesis!$F$50</f>
        <v/>
      </c>
      <c r="K115" s="25">
        <f>-K113*Hipótesis!$F$50</f>
        <v/>
      </c>
      <c r="L115" s="25">
        <f>-L113*Hipótesis!$F$50</f>
        <v/>
      </c>
      <c r="M115" s="25">
        <f>-M113*Hipótesis!$F$50</f>
        <v/>
      </c>
      <c r="N115" s="25">
        <f>-N113*Hipótesis!$F$50</f>
        <v/>
      </c>
      <c r="O115" s="30">
        <f>SUM(C115:N115)</f>
        <v/>
      </c>
    </row>
    <row r="116">
      <c r="B116" s="20" t="inlineStr">
        <is>
          <t>Base activa al cierre</t>
        </is>
      </c>
      <c r="C116" s="31">
        <f>SUM(C113:C115)</f>
        <v/>
      </c>
      <c r="D116" s="31">
        <f>SUM(D113:D115)</f>
        <v/>
      </c>
      <c r="E116" s="31">
        <f>SUM(E113:E115)</f>
        <v/>
      </c>
      <c r="F116" s="31">
        <f>SUM(F113:F115)</f>
        <v/>
      </c>
      <c r="G116" s="31">
        <f>SUM(G113:G115)</f>
        <v/>
      </c>
      <c r="H116" s="31">
        <f>SUM(H113:H115)</f>
        <v/>
      </c>
      <c r="I116" s="31">
        <f>SUM(I113:I115)</f>
        <v/>
      </c>
      <c r="J116" s="31">
        <f>SUM(J113:J115)</f>
        <v/>
      </c>
      <c r="K116" s="31">
        <f>SUM(K113:K115)</f>
        <v/>
      </c>
      <c r="L116" s="31">
        <f>SUM(L113:L115)</f>
        <v/>
      </c>
      <c r="M116" s="31">
        <f>SUM(M113:M115)</f>
        <v/>
      </c>
      <c r="N116" s="31">
        <f>SUM(N113:N115)</f>
        <v/>
      </c>
      <c r="O116" s="30">
        <f>N116</f>
        <v/>
      </c>
    </row>
    <row r="117"/>
    <row r="118">
      <c r="B118" s="9" t="inlineStr">
        <is>
          <t>Plan Partner — Segmento C</t>
        </is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</row>
    <row r="119">
      <c r="A119" s="20" t="inlineStr">
        <is>
          <t>PLAN PARTNER</t>
        </is>
      </c>
      <c r="B119" s="13" t="inlineStr">
        <is>
          <t>Partners activos</t>
        </is>
      </c>
      <c r="C119" s="28">
        <f>ROUND(Hipótesis!$E$45+(Hipótesis!$F$45-Hipótesis!$E$45)*1/12,0)</f>
        <v/>
      </c>
      <c r="D119" s="28">
        <f>ROUND(Hipótesis!$E$45+(Hipótesis!$F$45-Hipótesis!$E$45)*2/12,0)</f>
        <v/>
      </c>
      <c r="E119" s="28">
        <f>ROUND(Hipótesis!$E$45+(Hipótesis!$F$45-Hipótesis!$E$45)*3/12,0)</f>
        <v/>
      </c>
      <c r="F119" s="28">
        <f>ROUND(Hipótesis!$E$45+(Hipótesis!$F$45-Hipótesis!$E$45)*4/12,0)</f>
        <v/>
      </c>
      <c r="G119" s="28">
        <f>ROUND(Hipótesis!$E$45+(Hipótesis!$F$45-Hipótesis!$E$45)*5/12,0)</f>
        <v/>
      </c>
      <c r="H119" s="28">
        <f>ROUND(Hipótesis!$E$45+(Hipótesis!$F$45-Hipótesis!$E$45)*6/12,0)</f>
        <v/>
      </c>
      <c r="I119" s="28">
        <f>ROUND(Hipótesis!$E$45+(Hipótesis!$F$45-Hipótesis!$E$45)*7/12,0)</f>
        <v/>
      </c>
      <c r="J119" s="28">
        <f>ROUND(Hipótesis!$E$45+(Hipótesis!$F$45-Hipótesis!$E$45)*8/12,0)</f>
        <v/>
      </c>
      <c r="K119" s="28">
        <f>ROUND(Hipótesis!$E$45+(Hipótesis!$F$45-Hipótesis!$E$45)*9/12,0)</f>
        <v/>
      </c>
      <c r="L119" s="28">
        <f>ROUND(Hipótesis!$E$45+(Hipótesis!$F$45-Hipótesis!$E$45)*10/12,0)</f>
        <v/>
      </c>
      <c r="M119" s="28">
        <f>ROUND(Hipótesis!$E$45+(Hipótesis!$F$45-Hipótesis!$E$45)*11/12,0)</f>
        <v/>
      </c>
      <c r="N119" s="28">
        <f>ROUND(Hipótesis!$E$45+(Hipótesis!$F$45-Hipótesis!$E$45)*12/12,0)</f>
        <v/>
      </c>
      <c r="O119" s="29">
        <f>N119</f>
        <v/>
      </c>
    </row>
    <row r="120">
      <c r="B120" s="20" t="inlineStr">
        <is>
          <t>Clientes gestionados por el canal</t>
        </is>
      </c>
      <c r="C120" s="31">
        <f>IF(37&lt;Hipótesis!$C$44,0,C119*Hipótesis!$F$46)</f>
        <v/>
      </c>
      <c r="D120" s="31">
        <f>IF(38&lt;Hipótesis!$C$44,0,D119*Hipótesis!$F$46)</f>
        <v/>
      </c>
      <c r="E120" s="31">
        <f>IF(39&lt;Hipótesis!$C$44,0,E119*Hipótesis!$F$46)</f>
        <v/>
      </c>
      <c r="F120" s="31">
        <f>IF(40&lt;Hipótesis!$C$44,0,F119*Hipótesis!$F$46)</f>
        <v/>
      </c>
      <c r="G120" s="31">
        <f>IF(41&lt;Hipótesis!$C$44,0,G119*Hipótesis!$F$46)</f>
        <v/>
      </c>
      <c r="H120" s="31">
        <f>IF(42&lt;Hipótesis!$C$44,0,H119*Hipótesis!$F$46)</f>
        <v/>
      </c>
      <c r="I120" s="31">
        <f>IF(43&lt;Hipótesis!$C$44,0,I119*Hipótesis!$F$46)</f>
        <v/>
      </c>
      <c r="J120" s="31">
        <f>IF(44&lt;Hipótesis!$C$44,0,J119*Hipótesis!$F$46)</f>
        <v/>
      </c>
      <c r="K120" s="31">
        <f>IF(45&lt;Hipótesis!$C$44,0,K119*Hipótesis!$F$46)</f>
        <v/>
      </c>
      <c r="L120" s="31">
        <f>IF(46&lt;Hipótesis!$C$44,0,L119*Hipótesis!$F$46)</f>
        <v/>
      </c>
      <c r="M120" s="31">
        <f>IF(47&lt;Hipótesis!$C$44,0,M119*Hipótesis!$F$46)</f>
        <v/>
      </c>
      <c r="N120" s="31">
        <f>IF(48&lt;Hipótesis!$C$44,0,N119*Hipótesis!$F$46)</f>
        <v/>
      </c>
      <c r="O120" s="30">
        <f>N120</f>
        <v/>
      </c>
    </row>
    <row r="121"/>
    <row r="122">
      <c r="B122" s="9" t="inlineStr">
        <is>
          <t>Consolidado</t>
        </is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</row>
    <row r="123">
      <c r="A123" s="20" t="inlineStr">
        <is>
          <t>TOTAL</t>
        </is>
      </c>
      <c r="B123" s="20" t="inlineStr">
        <is>
          <t>Clientes pagos activos</t>
        </is>
      </c>
      <c r="C123" s="31">
        <f>C110+C116+C120</f>
        <v/>
      </c>
      <c r="D123" s="31">
        <f>D110+D116+D120</f>
        <v/>
      </c>
      <c r="E123" s="31">
        <f>E110+E116+E120</f>
        <v/>
      </c>
      <c r="F123" s="31">
        <f>F110+F116+F120</f>
        <v/>
      </c>
      <c r="G123" s="31">
        <f>G110+G116+G120</f>
        <v/>
      </c>
      <c r="H123" s="31">
        <f>H110+H116+H120</f>
        <v/>
      </c>
      <c r="I123" s="31">
        <f>I110+I116+I120</f>
        <v/>
      </c>
      <c r="J123" s="31">
        <f>J110+J116+J120</f>
        <v/>
      </c>
      <c r="K123" s="31">
        <f>K110+K116+K120</f>
        <v/>
      </c>
      <c r="L123" s="31">
        <f>L110+L116+L120</f>
        <v/>
      </c>
      <c r="M123" s="31">
        <f>M110+M116+M120</f>
        <v/>
      </c>
      <c r="N123" s="31">
        <f>N110+N116+N120</f>
        <v/>
      </c>
      <c r="O123" s="30">
        <f>N123</f>
        <v/>
      </c>
    </row>
    <row r="124">
      <c r="B124" s="20" t="inlineStr">
        <is>
          <t>Equipos administrados</t>
        </is>
      </c>
      <c r="C124" s="18">
        <f>C110*Hipótesis!$F$51+C116*Hipótesis!$F$52+C120*Hipótesis!$F$53</f>
        <v/>
      </c>
      <c r="D124" s="18">
        <f>D110*Hipótesis!$F$51+D116*Hipótesis!$F$52+D120*Hipótesis!$F$53</f>
        <v/>
      </c>
      <c r="E124" s="18">
        <f>E110*Hipótesis!$F$51+E116*Hipótesis!$F$52+E120*Hipótesis!$F$53</f>
        <v/>
      </c>
      <c r="F124" s="18">
        <f>F110*Hipótesis!$F$51+F116*Hipótesis!$F$52+F120*Hipótesis!$F$53</f>
        <v/>
      </c>
      <c r="G124" s="18">
        <f>G110*Hipótesis!$F$51+G116*Hipótesis!$F$52+G120*Hipótesis!$F$53</f>
        <v/>
      </c>
      <c r="H124" s="18">
        <f>H110*Hipótesis!$F$51+H116*Hipótesis!$F$52+H120*Hipótesis!$F$53</f>
        <v/>
      </c>
      <c r="I124" s="18">
        <f>I110*Hipótesis!$F$51+I116*Hipótesis!$F$52+I120*Hipótesis!$F$53</f>
        <v/>
      </c>
      <c r="J124" s="18">
        <f>J110*Hipótesis!$F$51+J116*Hipótesis!$F$52+J120*Hipótesis!$F$53</f>
        <v/>
      </c>
      <c r="K124" s="18">
        <f>K110*Hipótesis!$F$51+K116*Hipótesis!$F$52+K120*Hipótesis!$F$53</f>
        <v/>
      </c>
      <c r="L124" s="18">
        <f>L110*Hipótesis!$F$51+L116*Hipótesis!$F$52+L120*Hipótesis!$F$53</f>
        <v/>
      </c>
      <c r="M124" s="18">
        <f>M110*Hipótesis!$F$51+M116*Hipótesis!$F$52+M120*Hipótesis!$F$53</f>
        <v/>
      </c>
      <c r="N124" s="18">
        <f>N110*Hipótesis!$F$51+N116*Hipótesis!$F$52+N120*Hipótesis!$F$53</f>
        <v/>
      </c>
      <c r="O124" s="29">
        <f>N124</f>
        <v/>
      </c>
    </row>
    <row r="125"/>
    <row r="126">
      <c r="B126" s="9" t="inlineStr">
        <is>
          <t>Verificación contra las metas del documento (5.3.3)</t>
        </is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</row>
    <row r="127">
      <c r="C127" s="20" t="inlineStr">
        <is>
          <t>Proyectado</t>
        </is>
      </c>
      <c r="D127" s="20" t="inlineStr">
        <is>
          <t>Meta</t>
        </is>
      </c>
      <c r="E127" s="20" t="inlineStr">
        <is>
          <t>Desvío</t>
        </is>
      </c>
    </row>
    <row r="128">
      <c r="B128" s="13" t="inlineStr">
        <is>
          <t>Clientes pagos al mes 8 (Etapa E2)</t>
        </is>
      </c>
      <c r="C128" s="31">
        <f>J33</f>
        <v/>
      </c>
      <c r="D128" s="32" t="n">
        <v>10</v>
      </c>
      <c r="E128" s="16">
        <f>C128/D128-1</f>
        <v/>
      </c>
    </row>
    <row r="129">
      <c r="B129" s="13" t="inlineStr">
        <is>
          <t>Clientes pagos al mes 12 (Etapa E3)</t>
        </is>
      </c>
      <c r="C129" s="31">
        <f>N33</f>
        <v/>
      </c>
      <c r="D129" s="32" t="n">
        <v>25</v>
      </c>
      <c r="E129" s="16">
        <f>C129/D129-1</f>
        <v/>
      </c>
    </row>
    <row r="130">
      <c r="B130" s="13" t="inlineStr">
        <is>
          <t>Equipos administrados al mes 12</t>
        </is>
      </c>
      <c r="C130" s="31">
        <f>N34</f>
        <v/>
      </c>
      <c r="D130" s="32" t="n">
        <v>450</v>
      </c>
      <c r="E130" s="16">
        <f>C130/D130-1</f>
        <v/>
      </c>
    </row>
    <row r="131">
      <c r="B131" s="13" t="inlineStr">
        <is>
          <t>Participación de mercado al año 4</t>
        </is>
      </c>
      <c r="C131" s="21">
        <f>N123/Hipótesis!$C$31</f>
        <v/>
      </c>
      <c r="D131" s="36">
        <f>Hipótesis!$C$32</f>
        <v/>
      </c>
      <c r="E131" s="16">
        <f>C131/D131-1</f>
        <v/>
      </c>
      <c r="H131" s="3" t="inlineStr">
        <is>
          <t>La meta es la participación objetivo de la hoja Hipótesis. Si el modelo proyecta más que el objetivo, o el objetivo está corto o la proyección es optimista: hay que decidir cuál</t>
        </is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U96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8" t="inlineStr">
        <is>
          <t>MODELO DE INGRESOS</t>
        </is>
      </c>
    </row>
    <row r="3">
      <c r="B3" s="3" t="inlineStr">
        <is>
          <t>Facturación por línea: abono de la base activa más los equipos que exceden lo que incluye cada plan. Los precios se actualizan una vez por año según el supuesto de aumento de lista.</t>
        </is>
      </c>
      <c r="Q3" s="5" t="inlineStr">
        <is>
          <t>Resumen anual</t>
        </is>
      </c>
    </row>
    <row r="4">
      <c r="Q4" s="3" t="inlineStr">
        <is>
          <t>Los totales de cada año, que son los que alimentan el gráfico.</t>
        </is>
      </c>
    </row>
    <row r="5">
      <c r="Q5" s="20" t="inlineStr">
        <is>
          <t>Concepto</t>
        </is>
      </c>
      <c r="R5" s="11" t="n">
        <v>2027</v>
      </c>
      <c r="S5" s="11" t="n">
        <v>2028</v>
      </c>
      <c r="T5" s="11" t="n">
        <v>2029</v>
      </c>
      <c r="U5" s="11" t="n">
        <v>2030</v>
      </c>
    </row>
    <row r="6">
      <c r="Q6" s="13" t="inlineStr">
        <is>
          <t>Plan Inicial</t>
        </is>
      </c>
      <c r="R6" s="28">
        <f>O13</f>
        <v/>
      </c>
      <c r="S6" s="28">
        <f>O36</f>
        <v/>
      </c>
      <c r="T6" s="28">
        <f>O59</f>
        <v/>
      </c>
      <c r="U6" s="28">
        <f>O82</f>
        <v/>
      </c>
    </row>
    <row r="7">
      <c r="C7" s="5" t="n">
        <v>2027</v>
      </c>
      <c r="Q7" s="13" t="inlineStr">
        <is>
          <t>Plan Estándar</t>
        </is>
      </c>
      <c r="R7" s="28">
        <f>O18</f>
        <v/>
      </c>
      <c r="S7" s="28">
        <f>O41</f>
        <v/>
      </c>
      <c r="T7" s="28">
        <f>O64</f>
        <v/>
      </c>
      <c r="U7" s="28">
        <f>O87</f>
        <v/>
      </c>
    </row>
    <row r="8">
      <c r="C8" s="26" t="inlineStr">
        <is>
          <t>Ene</t>
        </is>
      </c>
      <c r="D8" s="26" t="inlineStr">
        <is>
          <t>Feb</t>
        </is>
      </c>
      <c r="E8" s="26" t="inlineStr">
        <is>
          <t>Mar</t>
        </is>
      </c>
      <c r="F8" s="26" t="inlineStr">
        <is>
          <t>Abr</t>
        </is>
      </c>
      <c r="G8" s="26" t="inlineStr">
        <is>
          <t>May</t>
        </is>
      </c>
      <c r="H8" s="26" t="inlineStr">
        <is>
          <t>Jun</t>
        </is>
      </c>
      <c r="I8" s="26" t="inlineStr">
        <is>
          <t>Jul</t>
        </is>
      </c>
      <c r="J8" s="26" t="inlineStr">
        <is>
          <t>Ago</t>
        </is>
      </c>
      <c r="K8" s="26" t="inlineStr">
        <is>
          <t>Sep</t>
        </is>
      </c>
      <c r="L8" s="26" t="inlineStr">
        <is>
          <t>Oct</t>
        </is>
      </c>
      <c r="M8" s="26" t="inlineStr">
        <is>
          <t>Nov</t>
        </is>
      </c>
      <c r="N8" s="26" t="inlineStr">
        <is>
          <t>Dic</t>
        </is>
      </c>
      <c r="O8" s="27" t="inlineStr">
        <is>
          <t>Total 2027</t>
        </is>
      </c>
      <c r="Q8" s="13" t="inlineStr">
        <is>
          <t>Plan Partner</t>
        </is>
      </c>
      <c r="R8" s="28">
        <f>O23</f>
        <v/>
      </c>
      <c r="S8" s="28">
        <f>O46</f>
        <v/>
      </c>
      <c r="T8" s="28">
        <f>O69</f>
        <v/>
      </c>
      <c r="U8" s="28">
        <f>O92</f>
        <v/>
      </c>
    </row>
    <row r="9"/>
    <row r="10">
      <c r="B10" s="9" t="inlineStr">
        <is>
          <t>Plan Inicial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20" t="inlineStr">
        <is>
          <t>PLAN INICIAL</t>
        </is>
      </c>
      <c r="B11" s="13" t="inlineStr">
        <is>
          <t>Ingreso por abono</t>
        </is>
      </c>
      <c r="C11" s="28">
        <f>'Proyección de ventas'!C20*Planes!$D$7*1</f>
        <v/>
      </c>
      <c r="D11" s="28">
        <f>'Proyección de ventas'!D20*Planes!$D$7*1</f>
        <v/>
      </c>
      <c r="E11" s="28">
        <f>'Proyección de ventas'!E20*Planes!$D$7*1</f>
        <v/>
      </c>
      <c r="F11" s="28">
        <f>'Proyección de ventas'!F20*Planes!$D$7*1</f>
        <v/>
      </c>
      <c r="G11" s="28">
        <f>'Proyección de ventas'!G20*Planes!$D$7*1</f>
        <v/>
      </c>
      <c r="H11" s="28">
        <f>'Proyección de ventas'!H20*Planes!$D$7*1</f>
        <v/>
      </c>
      <c r="I11" s="28">
        <f>'Proyección de ventas'!I20*Planes!$D$7*1</f>
        <v/>
      </c>
      <c r="J11" s="28">
        <f>'Proyección de ventas'!J20*Planes!$D$7*1</f>
        <v/>
      </c>
      <c r="K11" s="28">
        <f>'Proyección de ventas'!K20*Planes!$D$7*1</f>
        <v/>
      </c>
      <c r="L11" s="28">
        <f>'Proyección de ventas'!L20*Planes!$D$7*1</f>
        <v/>
      </c>
      <c r="M11" s="28">
        <f>'Proyección de ventas'!M20*Planes!$D$7*1</f>
        <v/>
      </c>
      <c r="N11" s="28">
        <f>'Proyección de ventas'!N20*Planes!$D$7*1</f>
        <v/>
      </c>
      <c r="O11" s="29">
        <f>SUM(C11:N11)</f>
        <v/>
      </c>
    </row>
    <row r="12">
      <c r="B12" s="13" t="inlineStr">
        <is>
          <t xml:space="preserve">    Ingreso por equipos adicionales</t>
        </is>
      </c>
      <c r="C12" s="28">
        <f>'Proyección de ventas'!C20*MAX(0,Hipótesis!$C$51-Planes!$E$7)*Planes!$F$7*1</f>
        <v/>
      </c>
      <c r="D12" s="28">
        <f>'Proyección de ventas'!D20*MAX(0,Hipótesis!$C$51-Planes!$E$7)*Planes!$F$7*1</f>
        <v/>
      </c>
      <c r="E12" s="28">
        <f>'Proyección de ventas'!E20*MAX(0,Hipótesis!$C$51-Planes!$E$7)*Planes!$F$7*1</f>
        <v/>
      </c>
      <c r="F12" s="28">
        <f>'Proyección de ventas'!F20*MAX(0,Hipótesis!$C$51-Planes!$E$7)*Planes!$F$7*1</f>
        <v/>
      </c>
      <c r="G12" s="28">
        <f>'Proyección de ventas'!G20*MAX(0,Hipótesis!$C$51-Planes!$E$7)*Planes!$F$7*1</f>
        <v/>
      </c>
      <c r="H12" s="28">
        <f>'Proyección de ventas'!H20*MAX(0,Hipótesis!$C$51-Planes!$E$7)*Planes!$F$7*1</f>
        <v/>
      </c>
      <c r="I12" s="28">
        <f>'Proyección de ventas'!I20*MAX(0,Hipótesis!$C$51-Planes!$E$7)*Planes!$F$7*1</f>
        <v/>
      </c>
      <c r="J12" s="28">
        <f>'Proyección de ventas'!J20*MAX(0,Hipótesis!$C$51-Planes!$E$7)*Planes!$F$7*1</f>
        <v/>
      </c>
      <c r="K12" s="28">
        <f>'Proyección de ventas'!K20*MAX(0,Hipótesis!$C$51-Planes!$E$7)*Planes!$F$7*1</f>
        <v/>
      </c>
      <c r="L12" s="28">
        <f>'Proyección de ventas'!L20*MAX(0,Hipótesis!$C$51-Planes!$E$7)*Planes!$F$7*1</f>
        <v/>
      </c>
      <c r="M12" s="28">
        <f>'Proyección de ventas'!M20*MAX(0,Hipótesis!$C$51-Planes!$E$7)*Planes!$F$7*1</f>
        <v/>
      </c>
      <c r="N12" s="28">
        <f>'Proyección de ventas'!N20*MAX(0,Hipótesis!$C$51-Planes!$E$7)*Planes!$F$7*1</f>
        <v/>
      </c>
      <c r="O12" s="29">
        <f>SUM(C12:N12)</f>
        <v/>
      </c>
    </row>
    <row r="13">
      <c r="B13" s="20" t="inlineStr">
        <is>
          <t>Total de la línea</t>
        </is>
      </c>
      <c r="C13" s="18">
        <f>C11+C12</f>
        <v/>
      </c>
      <c r="D13" s="18">
        <f>D11+D12</f>
        <v/>
      </c>
      <c r="E13" s="18">
        <f>E11+E12</f>
        <v/>
      </c>
      <c r="F13" s="18">
        <f>F11+F12</f>
        <v/>
      </c>
      <c r="G13" s="18">
        <f>G11+G12</f>
        <v/>
      </c>
      <c r="H13" s="18">
        <f>H11+H12</f>
        <v/>
      </c>
      <c r="I13" s="18">
        <f>I11+I12</f>
        <v/>
      </c>
      <c r="J13" s="18">
        <f>J11+J12</f>
        <v/>
      </c>
      <c r="K13" s="18">
        <f>K11+K12</f>
        <v/>
      </c>
      <c r="L13" s="18">
        <f>L11+L12</f>
        <v/>
      </c>
      <c r="M13" s="18">
        <f>M11+M12</f>
        <v/>
      </c>
      <c r="N13" s="18">
        <f>N11+N12</f>
        <v/>
      </c>
      <c r="O13" s="29">
        <f>SUM(C13:N13)</f>
        <v/>
      </c>
    </row>
    <row r="14"/>
    <row r="15">
      <c r="B15" s="9" t="inlineStr">
        <is>
          <t>Plan Estándar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20" t="inlineStr">
        <is>
          <t>PLAN ESTÁNDAR</t>
        </is>
      </c>
      <c r="B16" s="13" t="inlineStr">
        <is>
          <t>Ingreso por abono</t>
        </is>
      </c>
      <c r="C16" s="28">
        <f>'Proyección de ventas'!C26*Planes!$D$8*1</f>
        <v/>
      </c>
      <c r="D16" s="28">
        <f>'Proyección de ventas'!D26*Planes!$D$8*1</f>
        <v/>
      </c>
      <c r="E16" s="28">
        <f>'Proyección de ventas'!E26*Planes!$D$8*1</f>
        <v/>
      </c>
      <c r="F16" s="28">
        <f>'Proyección de ventas'!F26*Planes!$D$8*1</f>
        <v/>
      </c>
      <c r="G16" s="28">
        <f>'Proyección de ventas'!G26*Planes!$D$8*1</f>
        <v/>
      </c>
      <c r="H16" s="28">
        <f>'Proyección de ventas'!H26*Planes!$D$8*1</f>
        <v/>
      </c>
      <c r="I16" s="28">
        <f>'Proyección de ventas'!I26*Planes!$D$8*1</f>
        <v/>
      </c>
      <c r="J16" s="28">
        <f>'Proyección de ventas'!J26*Planes!$D$8*1</f>
        <v/>
      </c>
      <c r="K16" s="28">
        <f>'Proyección de ventas'!K26*Planes!$D$8*1</f>
        <v/>
      </c>
      <c r="L16" s="28">
        <f>'Proyección de ventas'!L26*Planes!$D$8*1</f>
        <v/>
      </c>
      <c r="M16" s="28">
        <f>'Proyección de ventas'!M26*Planes!$D$8*1</f>
        <v/>
      </c>
      <c r="N16" s="28">
        <f>'Proyección de ventas'!N26*Planes!$D$8*1</f>
        <v/>
      </c>
      <c r="O16" s="29">
        <f>SUM(C16:N16)</f>
        <v/>
      </c>
    </row>
    <row r="17">
      <c r="B17" s="13" t="inlineStr">
        <is>
          <t xml:space="preserve">    Ingreso por equipos adicionales</t>
        </is>
      </c>
      <c r="C17" s="28">
        <f>'Proyección de ventas'!C26*MAX(0,Hipótesis!$C$52-Planes!$E$8)*Planes!$F$8*1</f>
        <v/>
      </c>
      <c r="D17" s="28">
        <f>'Proyección de ventas'!D26*MAX(0,Hipótesis!$C$52-Planes!$E$8)*Planes!$F$8*1</f>
        <v/>
      </c>
      <c r="E17" s="28">
        <f>'Proyección de ventas'!E26*MAX(0,Hipótesis!$C$52-Planes!$E$8)*Planes!$F$8*1</f>
        <v/>
      </c>
      <c r="F17" s="28">
        <f>'Proyección de ventas'!F26*MAX(0,Hipótesis!$C$52-Planes!$E$8)*Planes!$F$8*1</f>
        <v/>
      </c>
      <c r="G17" s="28">
        <f>'Proyección de ventas'!G26*MAX(0,Hipótesis!$C$52-Planes!$E$8)*Planes!$F$8*1</f>
        <v/>
      </c>
      <c r="H17" s="28">
        <f>'Proyección de ventas'!H26*MAX(0,Hipótesis!$C$52-Planes!$E$8)*Planes!$F$8*1</f>
        <v/>
      </c>
      <c r="I17" s="28">
        <f>'Proyección de ventas'!I26*MAX(0,Hipótesis!$C$52-Planes!$E$8)*Planes!$F$8*1</f>
        <v/>
      </c>
      <c r="J17" s="28">
        <f>'Proyección de ventas'!J26*MAX(0,Hipótesis!$C$52-Planes!$E$8)*Planes!$F$8*1</f>
        <v/>
      </c>
      <c r="K17" s="28">
        <f>'Proyección de ventas'!K26*MAX(0,Hipótesis!$C$52-Planes!$E$8)*Planes!$F$8*1</f>
        <v/>
      </c>
      <c r="L17" s="28">
        <f>'Proyección de ventas'!L26*MAX(0,Hipótesis!$C$52-Planes!$E$8)*Planes!$F$8*1</f>
        <v/>
      </c>
      <c r="M17" s="28">
        <f>'Proyección de ventas'!M26*MAX(0,Hipótesis!$C$52-Planes!$E$8)*Planes!$F$8*1</f>
        <v/>
      </c>
      <c r="N17" s="28">
        <f>'Proyección de ventas'!N26*MAX(0,Hipótesis!$C$52-Planes!$E$8)*Planes!$F$8*1</f>
        <v/>
      </c>
      <c r="O17" s="29">
        <f>SUM(C17:N17)</f>
        <v/>
      </c>
    </row>
    <row r="18">
      <c r="B18" s="20" t="inlineStr">
        <is>
          <t>Total de la línea</t>
        </is>
      </c>
      <c r="C18" s="18">
        <f>C16+C17</f>
        <v/>
      </c>
      <c r="D18" s="18">
        <f>D16+D17</f>
        <v/>
      </c>
      <c r="E18" s="18">
        <f>E16+E17</f>
        <v/>
      </c>
      <c r="F18" s="18">
        <f>F16+F17</f>
        <v/>
      </c>
      <c r="G18" s="18">
        <f>G16+G17</f>
        <v/>
      </c>
      <c r="H18" s="18">
        <f>H16+H17</f>
        <v/>
      </c>
      <c r="I18" s="18">
        <f>I16+I17</f>
        <v/>
      </c>
      <c r="J18" s="18">
        <f>J16+J17</f>
        <v/>
      </c>
      <c r="K18" s="18">
        <f>K16+K17</f>
        <v/>
      </c>
      <c r="L18" s="18">
        <f>L16+L17</f>
        <v/>
      </c>
      <c r="M18" s="18">
        <f>M16+M17</f>
        <v/>
      </c>
      <c r="N18" s="18">
        <f>N16+N17</f>
        <v/>
      </c>
      <c r="O18" s="29">
        <f>SUM(C18:N18)</f>
        <v/>
      </c>
    </row>
    <row r="19"/>
    <row r="20">
      <c r="B20" s="9" t="inlineStr">
        <is>
          <t>Plan Partner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20" t="inlineStr">
        <is>
          <t>PLAN PARTNER</t>
        </is>
      </c>
      <c r="B21" s="13" t="inlineStr">
        <is>
          <t>Ingreso por abono</t>
        </is>
      </c>
      <c r="C21" s="28">
        <f>'Proyección de ventas'!C30*Planes!$D$9*1</f>
        <v/>
      </c>
      <c r="D21" s="28">
        <f>'Proyección de ventas'!D30*Planes!$D$9*1</f>
        <v/>
      </c>
      <c r="E21" s="28">
        <f>'Proyección de ventas'!E30*Planes!$D$9*1</f>
        <v/>
      </c>
      <c r="F21" s="28">
        <f>'Proyección de ventas'!F30*Planes!$D$9*1</f>
        <v/>
      </c>
      <c r="G21" s="28">
        <f>'Proyección de ventas'!G30*Planes!$D$9*1</f>
        <v/>
      </c>
      <c r="H21" s="28">
        <f>'Proyección de ventas'!H30*Planes!$D$9*1</f>
        <v/>
      </c>
      <c r="I21" s="28">
        <f>'Proyección de ventas'!I30*Planes!$D$9*1</f>
        <v/>
      </c>
      <c r="J21" s="28">
        <f>'Proyección de ventas'!J30*Planes!$D$9*1</f>
        <v/>
      </c>
      <c r="K21" s="28">
        <f>'Proyección de ventas'!K30*Planes!$D$9*1</f>
        <v/>
      </c>
      <c r="L21" s="28">
        <f>'Proyección de ventas'!L30*Planes!$D$9*1</f>
        <v/>
      </c>
      <c r="M21" s="28">
        <f>'Proyección de ventas'!M30*Planes!$D$9*1</f>
        <v/>
      </c>
      <c r="N21" s="28">
        <f>'Proyección de ventas'!N30*Planes!$D$9*1</f>
        <v/>
      </c>
      <c r="O21" s="29">
        <f>SUM(C21:N21)</f>
        <v/>
      </c>
    </row>
    <row r="22">
      <c r="B22" s="13" t="inlineStr">
        <is>
          <t xml:space="preserve">    Ingreso por equipos adicionales</t>
        </is>
      </c>
      <c r="C22" s="28">
        <f>'Proyección de ventas'!C30*MAX(0,Hipótesis!$C$53-Planes!$E$9)*Planes!$F$9*1</f>
        <v/>
      </c>
      <c r="D22" s="28">
        <f>'Proyección de ventas'!D30*MAX(0,Hipótesis!$C$53-Planes!$E$9)*Planes!$F$9*1</f>
        <v/>
      </c>
      <c r="E22" s="28">
        <f>'Proyección de ventas'!E30*MAX(0,Hipótesis!$C$53-Planes!$E$9)*Planes!$F$9*1</f>
        <v/>
      </c>
      <c r="F22" s="28">
        <f>'Proyección de ventas'!F30*MAX(0,Hipótesis!$C$53-Planes!$E$9)*Planes!$F$9*1</f>
        <v/>
      </c>
      <c r="G22" s="28">
        <f>'Proyección de ventas'!G30*MAX(0,Hipótesis!$C$53-Planes!$E$9)*Planes!$F$9*1</f>
        <v/>
      </c>
      <c r="H22" s="28">
        <f>'Proyección de ventas'!H30*MAX(0,Hipótesis!$C$53-Planes!$E$9)*Planes!$F$9*1</f>
        <v/>
      </c>
      <c r="I22" s="28">
        <f>'Proyección de ventas'!I30*MAX(0,Hipótesis!$C$53-Planes!$E$9)*Planes!$F$9*1</f>
        <v/>
      </c>
      <c r="J22" s="28">
        <f>'Proyección de ventas'!J30*MAX(0,Hipótesis!$C$53-Planes!$E$9)*Planes!$F$9*1</f>
        <v/>
      </c>
      <c r="K22" s="28">
        <f>'Proyección de ventas'!K30*MAX(0,Hipótesis!$C$53-Planes!$E$9)*Planes!$F$9*1</f>
        <v/>
      </c>
      <c r="L22" s="28">
        <f>'Proyección de ventas'!L30*MAX(0,Hipótesis!$C$53-Planes!$E$9)*Planes!$F$9*1</f>
        <v/>
      </c>
      <c r="M22" s="28">
        <f>'Proyección de ventas'!M30*MAX(0,Hipótesis!$C$53-Planes!$E$9)*Planes!$F$9*1</f>
        <v/>
      </c>
      <c r="N22" s="28">
        <f>'Proyección de ventas'!N30*MAX(0,Hipótesis!$C$53-Planes!$E$9)*Planes!$F$9*1</f>
        <v/>
      </c>
      <c r="O22" s="29">
        <f>SUM(C22:N22)</f>
        <v/>
      </c>
    </row>
    <row r="23">
      <c r="B23" s="20" t="inlineStr">
        <is>
          <t>Total de la línea</t>
        </is>
      </c>
      <c r="C23" s="18">
        <f>C21+C22</f>
        <v/>
      </c>
      <c r="D23" s="18">
        <f>D21+D22</f>
        <v/>
      </c>
      <c r="E23" s="18">
        <f>E21+E22</f>
        <v/>
      </c>
      <c r="F23" s="18">
        <f>F21+F22</f>
        <v/>
      </c>
      <c r="G23" s="18">
        <f>G21+G22</f>
        <v/>
      </c>
      <c r="H23" s="18">
        <f>H21+H22</f>
        <v/>
      </c>
      <c r="I23" s="18">
        <f>I21+I22</f>
        <v/>
      </c>
      <c r="J23" s="18">
        <f>J21+J22</f>
        <v/>
      </c>
      <c r="K23" s="18">
        <f>K21+K22</f>
        <v/>
      </c>
      <c r="L23" s="18">
        <f>L21+L22</f>
        <v/>
      </c>
      <c r="M23" s="18">
        <f>M21+M22</f>
        <v/>
      </c>
      <c r="N23" s="18">
        <f>N21+N22</f>
        <v/>
      </c>
      <c r="O23" s="29">
        <f>SUM(C23:N23)</f>
        <v/>
      </c>
    </row>
    <row r="24"/>
    <row r="25">
      <c r="B25" s="9" t="inlineStr">
        <is>
          <t>Total de ingresos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20" t="inlineStr">
        <is>
          <t>TOTAL</t>
        </is>
      </c>
      <c r="B26" s="20" t="inlineStr">
        <is>
          <t>Ingresos del mes</t>
        </is>
      </c>
      <c r="C26" s="18">
        <f>C13+C18+C23</f>
        <v/>
      </c>
      <c r="D26" s="18">
        <f>D13+D18+D23</f>
        <v/>
      </c>
      <c r="E26" s="18">
        <f>E13+E18+E23</f>
        <v/>
      </c>
      <c r="F26" s="18">
        <f>F13+F18+F23</f>
        <v/>
      </c>
      <c r="G26" s="18">
        <f>G13+G18+G23</f>
        <v/>
      </c>
      <c r="H26" s="18">
        <f>H13+H18+H23</f>
        <v/>
      </c>
      <c r="I26" s="18">
        <f>I13+I18+I23</f>
        <v/>
      </c>
      <c r="J26" s="18">
        <f>J13+J18+J23</f>
        <v/>
      </c>
      <c r="K26" s="18">
        <f>K13+K18+K23</f>
        <v/>
      </c>
      <c r="L26" s="18">
        <f>L13+L18+L23</f>
        <v/>
      </c>
      <c r="M26" s="18">
        <f>M13+M18+M23</f>
        <v/>
      </c>
      <c r="N26" s="18">
        <f>N13+N18+N23</f>
        <v/>
      </c>
      <c r="O26" s="29">
        <f>SUM(C26:N26)</f>
        <v/>
      </c>
    </row>
    <row r="27">
      <c r="B27" s="13" t="inlineStr">
        <is>
          <t xml:space="preserve">    Ingreso promedio por cliente</t>
        </is>
      </c>
      <c r="C27" s="28">
        <f>IFERROR(C26/'Proyección de ventas'!C33,0)</f>
        <v/>
      </c>
      <c r="D27" s="28">
        <f>IFERROR(D26/'Proyección de ventas'!D33,0)</f>
        <v/>
      </c>
      <c r="E27" s="28">
        <f>IFERROR(E26/'Proyección de ventas'!E33,0)</f>
        <v/>
      </c>
      <c r="F27" s="28">
        <f>IFERROR(F26/'Proyección de ventas'!F33,0)</f>
        <v/>
      </c>
      <c r="G27" s="28">
        <f>IFERROR(G26/'Proyección de ventas'!G33,0)</f>
        <v/>
      </c>
      <c r="H27" s="28">
        <f>IFERROR(H26/'Proyección de ventas'!H33,0)</f>
        <v/>
      </c>
      <c r="I27" s="28">
        <f>IFERROR(I26/'Proyección de ventas'!I33,0)</f>
        <v/>
      </c>
      <c r="J27" s="28">
        <f>IFERROR(J26/'Proyección de ventas'!J33,0)</f>
        <v/>
      </c>
      <c r="K27" s="28">
        <f>IFERROR(K26/'Proyección de ventas'!K33,0)</f>
        <v/>
      </c>
      <c r="L27" s="28">
        <f>IFERROR(L26/'Proyección de ventas'!L33,0)</f>
        <v/>
      </c>
      <c r="M27" s="28">
        <f>IFERROR(M26/'Proyección de ventas'!M33,0)</f>
        <v/>
      </c>
      <c r="N27" s="28">
        <f>IFERROR(N26/'Proyección de ventas'!N33,0)</f>
        <v/>
      </c>
    </row>
    <row r="28"/>
    <row r="29"/>
    <row r="30">
      <c r="C30" s="5" t="n">
        <v>2028</v>
      </c>
    </row>
    <row r="31">
      <c r="C31" s="26" t="inlineStr">
        <is>
          <t>Ene</t>
        </is>
      </c>
      <c r="D31" s="26" t="inlineStr">
        <is>
          <t>Feb</t>
        </is>
      </c>
      <c r="E31" s="26" t="inlineStr">
        <is>
          <t>Mar</t>
        </is>
      </c>
      <c r="F31" s="26" t="inlineStr">
        <is>
          <t>Abr</t>
        </is>
      </c>
      <c r="G31" s="26" t="inlineStr">
        <is>
          <t>May</t>
        </is>
      </c>
      <c r="H31" s="26" t="inlineStr">
        <is>
          <t>Jun</t>
        </is>
      </c>
      <c r="I31" s="26" t="inlineStr">
        <is>
          <t>Jul</t>
        </is>
      </c>
      <c r="J31" s="26" t="inlineStr">
        <is>
          <t>Ago</t>
        </is>
      </c>
      <c r="K31" s="26" t="inlineStr">
        <is>
          <t>Sep</t>
        </is>
      </c>
      <c r="L31" s="26" t="inlineStr">
        <is>
          <t>Oct</t>
        </is>
      </c>
      <c r="M31" s="26" t="inlineStr">
        <is>
          <t>Nov</t>
        </is>
      </c>
      <c r="N31" s="26" t="inlineStr">
        <is>
          <t>Dic</t>
        </is>
      </c>
      <c r="O31" s="27" t="inlineStr">
        <is>
          <t>Total 2028</t>
        </is>
      </c>
    </row>
    <row r="32"/>
    <row r="33">
      <c r="B33" s="9" t="inlineStr">
        <is>
          <t>Plan Inicial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20" t="inlineStr">
        <is>
          <t>PLAN INICIAL</t>
        </is>
      </c>
      <c r="B34" s="13" t="inlineStr">
        <is>
          <t>Ingreso por abono</t>
        </is>
      </c>
      <c r="C34" s="28">
        <f>'Proyección de ventas'!C50*Planes!$D$7*(1+Hipótesis!$D$12)</f>
        <v/>
      </c>
      <c r="D34" s="28">
        <f>'Proyección de ventas'!D50*Planes!$D$7*(1+Hipótesis!$D$12)</f>
        <v/>
      </c>
      <c r="E34" s="28">
        <f>'Proyección de ventas'!E50*Planes!$D$7*(1+Hipótesis!$D$12)</f>
        <v/>
      </c>
      <c r="F34" s="28">
        <f>'Proyección de ventas'!F50*Planes!$D$7*(1+Hipótesis!$D$12)</f>
        <v/>
      </c>
      <c r="G34" s="28">
        <f>'Proyección de ventas'!G50*Planes!$D$7*(1+Hipótesis!$D$12)</f>
        <v/>
      </c>
      <c r="H34" s="28">
        <f>'Proyección de ventas'!H50*Planes!$D$7*(1+Hipótesis!$D$12)</f>
        <v/>
      </c>
      <c r="I34" s="28">
        <f>'Proyección de ventas'!I50*Planes!$D$7*(1+Hipótesis!$D$12)</f>
        <v/>
      </c>
      <c r="J34" s="28">
        <f>'Proyección de ventas'!J50*Planes!$D$7*(1+Hipótesis!$D$12)</f>
        <v/>
      </c>
      <c r="K34" s="28">
        <f>'Proyección de ventas'!K50*Planes!$D$7*(1+Hipótesis!$D$12)</f>
        <v/>
      </c>
      <c r="L34" s="28">
        <f>'Proyección de ventas'!L50*Planes!$D$7*(1+Hipótesis!$D$12)</f>
        <v/>
      </c>
      <c r="M34" s="28">
        <f>'Proyección de ventas'!M50*Planes!$D$7*(1+Hipótesis!$D$12)</f>
        <v/>
      </c>
      <c r="N34" s="28">
        <f>'Proyección de ventas'!N50*Planes!$D$7*(1+Hipótesis!$D$12)</f>
        <v/>
      </c>
      <c r="O34" s="29">
        <f>SUM(C34:N34)</f>
        <v/>
      </c>
    </row>
    <row r="35">
      <c r="B35" s="13" t="inlineStr">
        <is>
          <t xml:space="preserve">    Ingreso por equipos adicionales</t>
        </is>
      </c>
      <c r="C35" s="28">
        <f>'Proyección de ventas'!C50*MAX(0,Hipótesis!$D$51-Planes!$E$7)*Planes!$F$7*(1+Hipótesis!$D$12)</f>
        <v/>
      </c>
      <c r="D35" s="28">
        <f>'Proyección de ventas'!D50*MAX(0,Hipótesis!$D$51-Planes!$E$7)*Planes!$F$7*(1+Hipótesis!$D$12)</f>
        <v/>
      </c>
      <c r="E35" s="28">
        <f>'Proyección de ventas'!E50*MAX(0,Hipótesis!$D$51-Planes!$E$7)*Planes!$F$7*(1+Hipótesis!$D$12)</f>
        <v/>
      </c>
      <c r="F35" s="28">
        <f>'Proyección de ventas'!F50*MAX(0,Hipótesis!$D$51-Planes!$E$7)*Planes!$F$7*(1+Hipótesis!$D$12)</f>
        <v/>
      </c>
      <c r="G35" s="28">
        <f>'Proyección de ventas'!G50*MAX(0,Hipótesis!$D$51-Planes!$E$7)*Planes!$F$7*(1+Hipótesis!$D$12)</f>
        <v/>
      </c>
      <c r="H35" s="28">
        <f>'Proyección de ventas'!H50*MAX(0,Hipótesis!$D$51-Planes!$E$7)*Planes!$F$7*(1+Hipótesis!$D$12)</f>
        <v/>
      </c>
      <c r="I35" s="28">
        <f>'Proyección de ventas'!I50*MAX(0,Hipótesis!$D$51-Planes!$E$7)*Planes!$F$7*(1+Hipótesis!$D$12)</f>
        <v/>
      </c>
      <c r="J35" s="28">
        <f>'Proyección de ventas'!J50*MAX(0,Hipótesis!$D$51-Planes!$E$7)*Planes!$F$7*(1+Hipótesis!$D$12)</f>
        <v/>
      </c>
      <c r="K35" s="28">
        <f>'Proyección de ventas'!K50*MAX(0,Hipótesis!$D$51-Planes!$E$7)*Planes!$F$7*(1+Hipótesis!$D$12)</f>
        <v/>
      </c>
      <c r="L35" s="28">
        <f>'Proyección de ventas'!L50*MAX(0,Hipótesis!$D$51-Planes!$E$7)*Planes!$F$7*(1+Hipótesis!$D$12)</f>
        <v/>
      </c>
      <c r="M35" s="28">
        <f>'Proyección de ventas'!M50*MAX(0,Hipótesis!$D$51-Planes!$E$7)*Planes!$F$7*(1+Hipótesis!$D$12)</f>
        <v/>
      </c>
      <c r="N35" s="28">
        <f>'Proyección de ventas'!N50*MAX(0,Hipótesis!$D$51-Planes!$E$7)*Planes!$F$7*(1+Hipótesis!$D$12)</f>
        <v/>
      </c>
      <c r="O35" s="29">
        <f>SUM(C35:N35)</f>
        <v/>
      </c>
    </row>
    <row r="36">
      <c r="B36" s="20" t="inlineStr">
        <is>
          <t>Total de la línea</t>
        </is>
      </c>
      <c r="C36" s="18">
        <f>C34+C35</f>
        <v/>
      </c>
      <c r="D36" s="18">
        <f>D34+D35</f>
        <v/>
      </c>
      <c r="E36" s="18">
        <f>E34+E35</f>
        <v/>
      </c>
      <c r="F36" s="18">
        <f>F34+F35</f>
        <v/>
      </c>
      <c r="G36" s="18">
        <f>G34+G35</f>
        <v/>
      </c>
      <c r="H36" s="18">
        <f>H34+H35</f>
        <v/>
      </c>
      <c r="I36" s="18">
        <f>I34+I35</f>
        <v/>
      </c>
      <c r="J36" s="18">
        <f>J34+J35</f>
        <v/>
      </c>
      <c r="K36" s="18">
        <f>K34+K35</f>
        <v/>
      </c>
      <c r="L36" s="18">
        <f>L34+L35</f>
        <v/>
      </c>
      <c r="M36" s="18">
        <f>M34+M35</f>
        <v/>
      </c>
      <c r="N36" s="18">
        <f>N34+N35</f>
        <v/>
      </c>
      <c r="O36" s="29">
        <f>SUM(C36:N36)</f>
        <v/>
      </c>
    </row>
    <row r="37"/>
    <row r="38">
      <c r="B38" s="9" t="inlineStr">
        <is>
          <t>Plan Estándar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20" t="inlineStr">
        <is>
          <t>PLAN ESTÁNDAR</t>
        </is>
      </c>
      <c r="B39" s="13" t="inlineStr">
        <is>
          <t>Ingreso por abono</t>
        </is>
      </c>
      <c r="C39" s="28">
        <f>'Proyección de ventas'!C56*Planes!$D$8*(1+Hipótesis!$D$12)</f>
        <v/>
      </c>
      <c r="D39" s="28">
        <f>'Proyección de ventas'!D56*Planes!$D$8*(1+Hipótesis!$D$12)</f>
        <v/>
      </c>
      <c r="E39" s="28">
        <f>'Proyección de ventas'!E56*Planes!$D$8*(1+Hipótesis!$D$12)</f>
        <v/>
      </c>
      <c r="F39" s="28">
        <f>'Proyección de ventas'!F56*Planes!$D$8*(1+Hipótesis!$D$12)</f>
        <v/>
      </c>
      <c r="G39" s="28">
        <f>'Proyección de ventas'!G56*Planes!$D$8*(1+Hipótesis!$D$12)</f>
        <v/>
      </c>
      <c r="H39" s="28">
        <f>'Proyección de ventas'!H56*Planes!$D$8*(1+Hipótesis!$D$12)</f>
        <v/>
      </c>
      <c r="I39" s="28">
        <f>'Proyección de ventas'!I56*Planes!$D$8*(1+Hipótesis!$D$12)</f>
        <v/>
      </c>
      <c r="J39" s="28">
        <f>'Proyección de ventas'!J56*Planes!$D$8*(1+Hipótesis!$D$12)</f>
        <v/>
      </c>
      <c r="K39" s="28">
        <f>'Proyección de ventas'!K56*Planes!$D$8*(1+Hipótesis!$D$12)</f>
        <v/>
      </c>
      <c r="L39" s="28">
        <f>'Proyección de ventas'!L56*Planes!$D$8*(1+Hipótesis!$D$12)</f>
        <v/>
      </c>
      <c r="M39" s="28">
        <f>'Proyección de ventas'!M56*Planes!$D$8*(1+Hipótesis!$D$12)</f>
        <v/>
      </c>
      <c r="N39" s="28">
        <f>'Proyección de ventas'!N56*Planes!$D$8*(1+Hipótesis!$D$12)</f>
        <v/>
      </c>
      <c r="O39" s="29">
        <f>SUM(C39:N39)</f>
        <v/>
      </c>
    </row>
    <row r="40">
      <c r="B40" s="13" t="inlineStr">
        <is>
          <t xml:space="preserve">    Ingreso por equipos adicionales</t>
        </is>
      </c>
      <c r="C40" s="28">
        <f>'Proyección de ventas'!C56*MAX(0,Hipótesis!$D$52-Planes!$E$8)*Planes!$F$8*(1+Hipótesis!$D$12)</f>
        <v/>
      </c>
      <c r="D40" s="28">
        <f>'Proyección de ventas'!D56*MAX(0,Hipótesis!$D$52-Planes!$E$8)*Planes!$F$8*(1+Hipótesis!$D$12)</f>
        <v/>
      </c>
      <c r="E40" s="28">
        <f>'Proyección de ventas'!E56*MAX(0,Hipótesis!$D$52-Planes!$E$8)*Planes!$F$8*(1+Hipótesis!$D$12)</f>
        <v/>
      </c>
      <c r="F40" s="28">
        <f>'Proyección de ventas'!F56*MAX(0,Hipótesis!$D$52-Planes!$E$8)*Planes!$F$8*(1+Hipótesis!$D$12)</f>
        <v/>
      </c>
      <c r="G40" s="28">
        <f>'Proyección de ventas'!G56*MAX(0,Hipótesis!$D$52-Planes!$E$8)*Planes!$F$8*(1+Hipótesis!$D$12)</f>
        <v/>
      </c>
      <c r="H40" s="28">
        <f>'Proyección de ventas'!H56*MAX(0,Hipótesis!$D$52-Planes!$E$8)*Planes!$F$8*(1+Hipótesis!$D$12)</f>
        <v/>
      </c>
      <c r="I40" s="28">
        <f>'Proyección de ventas'!I56*MAX(0,Hipótesis!$D$52-Planes!$E$8)*Planes!$F$8*(1+Hipótesis!$D$12)</f>
        <v/>
      </c>
      <c r="J40" s="28">
        <f>'Proyección de ventas'!J56*MAX(0,Hipótesis!$D$52-Planes!$E$8)*Planes!$F$8*(1+Hipótesis!$D$12)</f>
        <v/>
      </c>
      <c r="K40" s="28">
        <f>'Proyección de ventas'!K56*MAX(0,Hipótesis!$D$52-Planes!$E$8)*Planes!$F$8*(1+Hipótesis!$D$12)</f>
        <v/>
      </c>
      <c r="L40" s="28">
        <f>'Proyección de ventas'!L56*MAX(0,Hipótesis!$D$52-Planes!$E$8)*Planes!$F$8*(1+Hipótesis!$D$12)</f>
        <v/>
      </c>
      <c r="M40" s="28">
        <f>'Proyección de ventas'!M56*MAX(0,Hipótesis!$D$52-Planes!$E$8)*Planes!$F$8*(1+Hipótesis!$D$12)</f>
        <v/>
      </c>
      <c r="N40" s="28">
        <f>'Proyección de ventas'!N56*MAX(0,Hipótesis!$D$52-Planes!$E$8)*Planes!$F$8*(1+Hipótesis!$D$12)</f>
        <v/>
      </c>
      <c r="O40" s="29">
        <f>SUM(C40:N40)</f>
        <v/>
      </c>
    </row>
    <row r="41">
      <c r="B41" s="20" t="inlineStr">
        <is>
          <t>Total de la línea</t>
        </is>
      </c>
      <c r="C41" s="18">
        <f>C39+C40</f>
        <v/>
      </c>
      <c r="D41" s="18">
        <f>D39+D40</f>
        <v/>
      </c>
      <c r="E41" s="18">
        <f>E39+E40</f>
        <v/>
      </c>
      <c r="F41" s="18">
        <f>F39+F40</f>
        <v/>
      </c>
      <c r="G41" s="18">
        <f>G39+G40</f>
        <v/>
      </c>
      <c r="H41" s="18">
        <f>H39+H40</f>
        <v/>
      </c>
      <c r="I41" s="18">
        <f>I39+I40</f>
        <v/>
      </c>
      <c r="J41" s="18">
        <f>J39+J40</f>
        <v/>
      </c>
      <c r="K41" s="18">
        <f>K39+K40</f>
        <v/>
      </c>
      <c r="L41" s="18">
        <f>L39+L40</f>
        <v/>
      </c>
      <c r="M41" s="18">
        <f>M39+M40</f>
        <v/>
      </c>
      <c r="N41" s="18">
        <f>N39+N40</f>
        <v/>
      </c>
      <c r="O41" s="29">
        <f>SUM(C41:N41)</f>
        <v/>
      </c>
    </row>
    <row r="42"/>
    <row r="43">
      <c r="B43" s="9" t="inlineStr">
        <is>
          <t>Plan Partner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20" t="inlineStr">
        <is>
          <t>PLAN PARTNER</t>
        </is>
      </c>
      <c r="B44" s="13" t="inlineStr">
        <is>
          <t>Ingreso por abono</t>
        </is>
      </c>
      <c r="C44" s="28">
        <f>'Proyección de ventas'!C60*Planes!$D$9*(1+Hipótesis!$D$12)</f>
        <v/>
      </c>
      <c r="D44" s="28">
        <f>'Proyección de ventas'!D60*Planes!$D$9*(1+Hipótesis!$D$12)</f>
        <v/>
      </c>
      <c r="E44" s="28">
        <f>'Proyección de ventas'!E60*Planes!$D$9*(1+Hipótesis!$D$12)</f>
        <v/>
      </c>
      <c r="F44" s="28">
        <f>'Proyección de ventas'!F60*Planes!$D$9*(1+Hipótesis!$D$12)</f>
        <v/>
      </c>
      <c r="G44" s="28">
        <f>'Proyección de ventas'!G60*Planes!$D$9*(1+Hipótesis!$D$12)</f>
        <v/>
      </c>
      <c r="H44" s="28">
        <f>'Proyección de ventas'!H60*Planes!$D$9*(1+Hipótesis!$D$12)</f>
        <v/>
      </c>
      <c r="I44" s="28">
        <f>'Proyección de ventas'!I60*Planes!$D$9*(1+Hipótesis!$D$12)</f>
        <v/>
      </c>
      <c r="J44" s="28">
        <f>'Proyección de ventas'!J60*Planes!$D$9*(1+Hipótesis!$D$12)</f>
        <v/>
      </c>
      <c r="K44" s="28">
        <f>'Proyección de ventas'!K60*Planes!$D$9*(1+Hipótesis!$D$12)</f>
        <v/>
      </c>
      <c r="L44" s="28">
        <f>'Proyección de ventas'!L60*Planes!$D$9*(1+Hipótesis!$D$12)</f>
        <v/>
      </c>
      <c r="M44" s="28">
        <f>'Proyección de ventas'!M60*Planes!$D$9*(1+Hipótesis!$D$12)</f>
        <v/>
      </c>
      <c r="N44" s="28">
        <f>'Proyección de ventas'!N60*Planes!$D$9*(1+Hipótesis!$D$12)</f>
        <v/>
      </c>
      <c r="O44" s="29">
        <f>SUM(C44:N44)</f>
        <v/>
      </c>
    </row>
    <row r="45">
      <c r="B45" s="13" t="inlineStr">
        <is>
          <t xml:space="preserve">    Ingreso por equipos adicionales</t>
        </is>
      </c>
      <c r="C45" s="28">
        <f>'Proyección de ventas'!C60*MAX(0,Hipótesis!$D$53-Planes!$E$9)*Planes!$F$9*(1+Hipótesis!$D$12)</f>
        <v/>
      </c>
      <c r="D45" s="28">
        <f>'Proyección de ventas'!D60*MAX(0,Hipótesis!$D$53-Planes!$E$9)*Planes!$F$9*(1+Hipótesis!$D$12)</f>
        <v/>
      </c>
      <c r="E45" s="28">
        <f>'Proyección de ventas'!E60*MAX(0,Hipótesis!$D$53-Planes!$E$9)*Planes!$F$9*(1+Hipótesis!$D$12)</f>
        <v/>
      </c>
      <c r="F45" s="28">
        <f>'Proyección de ventas'!F60*MAX(0,Hipótesis!$D$53-Planes!$E$9)*Planes!$F$9*(1+Hipótesis!$D$12)</f>
        <v/>
      </c>
      <c r="G45" s="28">
        <f>'Proyección de ventas'!G60*MAX(0,Hipótesis!$D$53-Planes!$E$9)*Planes!$F$9*(1+Hipótesis!$D$12)</f>
        <v/>
      </c>
      <c r="H45" s="28">
        <f>'Proyección de ventas'!H60*MAX(0,Hipótesis!$D$53-Planes!$E$9)*Planes!$F$9*(1+Hipótesis!$D$12)</f>
        <v/>
      </c>
      <c r="I45" s="28">
        <f>'Proyección de ventas'!I60*MAX(0,Hipótesis!$D$53-Planes!$E$9)*Planes!$F$9*(1+Hipótesis!$D$12)</f>
        <v/>
      </c>
      <c r="J45" s="28">
        <f>'Proyección de ventas'!J60*MAX(0,Hipótesis!$D$53-Planes!$E$9)*Planes!$F$9*(1+Hipótesis!$D$12)</f>
        <v/>
      </c>
      <c r="K45" s="28">
        <f>'Proyección de ventas'!K60*MAX(0,Hipótesis!$D$53-Planes!$E$9)*Planes!$F$9*(1+Hipótesis!$D$12)</f>
        <v/>
      </c>
      <c r="L45" s="28">
        <f>'Proyección de ventas'!L60*MAX(0,Hipótesis!$D$53-Planes!$E$9)*Planes!$F$9*(1+Hipótesis!$D$12)</f>
        <v/>
      </c>
      <c r="M45" s="28">
        <f>'Proyección de ventas'!M60*MAX(0,Hipótesis!$D$53-Planes!$E$9)*Planes!$F$9*(1+Hipótesis!$D$12)</f>
        <v/>
      </c>
      <c r="N45" s="28">
        <f>'Proyección de ventas'!N60*MAX(0,Hipótesis!$D$53-Planes!$E$9)*Planes!$F$9*(1+Hipótesis!$D$12)</f>
        <v/>
      </c>
      <c r="O45" s="29">
        <f>SUM(C45:N45)</f>
        <v/>
      </c>
    </row>
    <row r="46">
      <c r="B46" s="20" t="inlineStr">
        <is>
          <t>Total de la línea</t>
        </is>
      </c>
      <c r="C46" s="18">
        <f>C44+C45</f>
        <v/>
      </c>
      <c r="D46" s="18">
        <f>D44+D45</f>
        <v/>
      </c>
      <c r="E46" s="18">
        <f>E44+E45</f>
        <v/>
      </c>
      <c r="F46" s="18">
        <f>F44+F45</f>
        <v/>
      </c>
      <c r="G46" s="18">
        <f>G44+G45</f>
        <v/>
      </c>
      <c r="H46" s="18">
        <f>H44+H45</f>
        <v/>
      </c>
      <c r="I46" s="18">
        <f>I44+I45</f>
        <v/>
      </c>
      <c r="J46" s="18">
        <f>J44+J45</f>
        <v/>
      </c>
      <c r="K46" s="18">
        <f>K44+K45</f>
        <v/>
      </c>
      <c r="L46" s="18">
        <f>L44+L45</f>
        <v/>
      </c>
      <c r="M46" s="18">
        <f>M44+M45</f>
        <v/>
      </c>
      <c r="N46" s="18">
        <f>N44+N45</f>
        <v/>
      </c>
      <c r="O46" s="29">
        <f>SUM(C46:N46)</f>
        <v/>
      </c>
    </row>
    <row r="47"/>
    <row r="48">
      <c r="B48" s="9" t="inlineStr">
        <is>
          <t>Total de ingresos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20" t="inlineStr">
        <is>
          <t>TOTAL</t>
        </is>
      </c>
      <c r="B49" s="20" t="inlineStr">
        <is>
          <t>Ingresos del mes</t>
        </is>
      </c>
      <c r="C49" s="18">
        <f>C36+C41+C46</f>
        <v/>
      </c>
      <c r="D49" s="18">
        <f>D36+D41+D46</f>
        <v/>
      </c>
      <c r="E49" s="18">
        <f>E36+E41+E46</f>
        <v/>
      </c>
      <c r="F49" s="18">
        <f>F36+F41+F46</f>
        <v/>
      </c>
      <c r="G49" s="18">
        <f>G36+G41+G46</f>
        <v/>
      </c>
      <c r="H49" s="18">
        <f>H36+H41+H46</f>
        <v/>
      </c>
      <c r="I49" s="18">
        <f>I36+I41+I46</f>
        <v/>
      </c>
      <c r="J49" s="18">
        <f>J36+J41+J46</f>
        <v/>
      </c>
      <c r="K49" s="18">
        <f>K36+K41+K46</f>
        <v/>
      </c>
      <c r="L49" s="18">
        <f>L36+L41+L46</f>
        <v/>
      </c>
      <c r="M49" s="18">
        <f>M36+M41+M46</f>
        <v/>
      </c>
      <c r="N49" s="18">
        <f>N36+N41+N46</f>
        <v/>
      </c>
      <c r="O49" s="29">
        <f>SUM(C49:N49)</f>
        <v/>
      </c>
    </row>
    <row r="50">
      <c r="B50" s="13" t="inlineStr">
        <is>
          <t xml:space="preserve">    Ingreso promedio por cliente</t>
        </is>
      </c>
      <c r="C50" s="28">
        <f>IFERROR(C49/'Proyección de ventas'!C63,0)</f>
        <v/>
      </c>
      <c r="D50" s="28">
        <f>IFERROR(D49/'Proyección de ventas'!D63,0)</f>
        <v/>
      </c>
      <c r="E50" s="28">
        <f>IFERROR(E49/'Proyección de ventas'!E63,0)</f>
        <v/>
      </c>
      <c r="F50" s="28">
        <f>IFERROR(F49/'Proyección de ventas'!F63,0)</f>
        <v/>
      </c>
      <c r="G50" s="28">
        <f>IFERROR(G49/'Proyección de ventas'!G63,0)</f>
        <v/>
      </c>
      <c r="H50" s="28">
        <f>IFERROR(H49/'Proyección de ventas'!H63,0)</f>
        <v/>
      </c>
      <c r="I50" s="28">
        <f>IFERROR(I49/'Proyección de ventas'!I63,0)</f>
        <v/>
      </c>
      <c r="J50" s="28">
        <f>IFERROR(J49/'Proyección de ventas'!J63,0)</f>
        <v/>
      </c>
      <c r="K50" s="28">
        <f>IFERROR(K49/'Proyección de ventas'!K63,0)</f>
        <v/>
      </c>
      <c r="L50" s="28">
        <f>IFERROR(L49/'Proyección de ventas'!L63,0)</f>
        <v/>
      </c>
      <c r="M50" s="28">
        <f>IFERROR(M49/'Proyección de ventas'!M63,0)</f>
        <v/>
      </c>
      <c r="N50" s="28">
        <f>IFERROR(N49/'Proyección de ventas'!N63,0)</f>
        <v/>
      </c>
    </row>
    <row r="51"/>
    <row r="52"/>
    <row r="53">
      <c r="C53" s="5" t="n">
        <v>2029</v>
      </c>
    </row>
    <row r="54">
      <c r="C54" s="26" t="inlineStr">
        <is>
          <t>Ene</t>
        </is>
      </c>
      <c r="D54" s="26" t="inlineStr">
        <is>
          <t>Feb</t>
        </is>
      </c>
      <c r="E54" s="26" t="inlineStr">
        <is>
          <t>Mar</t>
        </is>
      </c>
      <c r="F54" s="26" t="inlineStr">
        <is>
          <t>Abr</t>
        </is>
      </c>
      <c r="G54" s="26" t="inlineStr">
        <is>
          <t>May</t>
        </is>
      </c>
      <c r="H54" s="26" t="inlineStr">
        <is>
          <t>Jun</t>
        </is>
      </c>
      <c r="I54" s="26" t="inlineStr">
        <is>
          <t>Jul</t>
        </is>
      </c>
      <c r="J54" s="26" t="inlineStr">
        <is>
          <t>Ago</t>
        </is>
      </c>
      <c r="K54" s="26" t="inlineStr">
        <is>
          <t>Sep</t>
        </is>
      </c>
      <c r="L54" s="26" t="inlineStr">
        <is>
          <t>Oct</t>
        </is>
      </c>
      <c r="M54" s="26" t="inlineStr">
        <is>
          <t>Nov</t>
        </is>
      </c>
      <c r="N54" s="26" t="inlineStr">
        <is>
          <t>Dic</t>
        </is>
      </c>
      <c r="O54" s="27" t="inlineStr">
        <is>
          <t>Total 2029</t>
        </is>
      </c>
    </row>
    <row r="55"/>
    <row r="56">
      <c r="B56" s="9" t="inlineStr">
        <is>
          <t>Plan Inicial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20" t="inlineStr">
        <is>
          <t>PLAN INICIAL</t>
        </is>
      </c>
      <c r="B57" s="13" t="inlineStr">
        <is>
          <t>Ingreso por abono</t>
        </is>
      </c>
      <c r="C57" s="28">
        <f>'Proyección de ventas'!C80*Planes!$D$7*(1+Hipótesis!$D$12)*(1+Hipótesis!$E$12)</f>
        <v/>
      </c>
      <c r="D57" s="28">
        <f>'Proyección de ventas'!D80*Planes!$D$7*(1+Hipótesis!$D$12)*(1+Hipótesis!$E$12)</f>
        <v/>
      </c>
      <c r="E57" s="28">
        <f>'Proyección de ventas'!E80*Planes!$D$7*(1+Hipótesis!$D$12)*(1+Hipótesis!$E$12)</f>
        <v/>
      </c>
      <c r="F57" s="28">
        <f>'Proyección de ventas'!F80*Planes!$D$7*(1+Hipótesis!$D$12)*(1+Hipótesis!$E$12)</f>
        <v/>
      </c>
      <c r="G57" s="28">
        <f>'Proyección de ventas'!G80*Planes!$D$7*(1+Hipótesis!$D$12)*(1+Hipótesis!$E$12)</f>
        <v/>
      </c>
      <c r="H57" s="28">
        <f>'Proyección de ventas'!H80*Planes!$D$7*(1+Hipótesis!$D$12)*(1+Hipótesis!$E$12)</f>
        <v/>
      </c>
      <c r="I57" s="28">
        <f>'Proyección de ventas'!I80*Planes!$D$7*(1+Hipótesis!$D$12)*(1+Hipótesis!$E$12)</f>
        <v/>
      </c>
      <c r="J57" s="28">
        <f>'Proyección de ventas'!J80*Planes!$D$7*(1+Hipótesis!$D$12)*(1+Hipótesis!$E$12)</f>
        <v/>
      </c>
      <c r="K57" s="28">
        <f>'Proyección de ventas'!K80*Planes!$D$7*(1+Hipótesis!$D$12)*(1+Hipótesis!$E$12)</f>
        <v/>
      </c>
      <c r="L57" s="28">
        <f>'Proyección de ventas'!L80*Planes!$D$7*(1+Hipótesis!$D$12)*(1+Hipótesis!$E$12)</f>
        <v/>
      </c>
      <c r="M57" s="28">
        <f>'Proyección de ventas'!M80*Planes!$D$7*(1+Hipótesis!$D$12)*(1+Hipótesis!$E$12)</f>
        <v/>
      </c>
      <c r="N57" s="28">
        <f>'Proyección de ventas'!N80*Planes!$D$7*(1+Hipótesis!$D$12)*(1+Hipótesis!$E$12)</f>
        <v/>
      </c>
      <c r="O57" s="29">
        <f>SUM(C57:N57)</f>
        <v/>
      </c>
    </row>
    <row r="58">
      <c r="B58" s="13" t="inlineStr">
        <is>
          <t xml:space="preserve">    Ingreso por equipos adicionales</t>
        </is>
      </c>
      <c r="C58" s="28">
        <f>'Proyección de ventas'!C80*MAX(0,Hipótesis!$E$51-Planes!$E$7)*Planes!$F$7*(1+Hipótesis!$D$12)*(1+Hipótesis!$E$12)</f>
        <v/>
      </c>
      <c r="D58" s="28">
        <f>'Proyección de ventas'!D80*MAX(0,Hipótesis!$E$51-Planes!$E$7)*Planes!$F$7*(1+Hipótesis!$D$12)*(1+Hipótesis!$E$12)</f>
        <v/>
      </c>
      <c r="E58" s="28">
        <f>'Proyección de ventas'!E80*MAX(0,Hipótesis!$E$51-Planes!$E$7)*Planes!$F$7*(1+Hipótesis!$D$12)*(1+Hipótesis!$E$12)</f>
        <v/>
      </c>
      <c r="F58" s="28">
        <f>'Proyección de ventas'!F80*MAX(0,Hipótesis!$E$51-Planes!$E$7)*Planes!$F$7*(1+Hipótesis!$D$12)*(1+Hipótesis!$E$12)</f>
        <v/>
      </c>
      <c r="G58" s="28">
        <f>'Proyección de ventas'!G80*MAX(0,Hipótesis!$E$51-Planes!$E$7)*Planes!$F$7*(1+Hipótesis!$D$12)*(1+Hipótesis!$E$12)</f>
        <v/>
      </c>
      <c r="H58" s="28">
        <f>'Proyección de ventas'!H80*MAX(0,Hipótesis!$E$51-Planes!$E$7)*Planes!$F$7*(1+Hipótesis!$D$12)*(1+Hipótesis!$E$12)</f>
        <v/>
      </c>
      <c r="I58" s="28">
        <f>'Proyección de ventas'!I80*MAX(0,Hipótesis!$E$51-Planes!$E$7)*Planes!$F$7*(1+Hipótesis!$D$12)*(1+Hipótesis!$E$12)</f>
        <v/>
      </c>
      <c r="J58" s="28">
        <f>'Proyección de ventas'!J80*MAX(0,Hipótesis!$E$51-Planes!$E$7)*Planes!$F$7*(1+Hipótesis!$D$12)*(1+Hipótesis!$E$12)</f>
        <v/>
      </c>
      <c r="K58" s="28">
        <f>'Proyección de ventas'!K80*MAX(0,Hipótesis!$E$51-Planes!$E$7)*Planes!$F$7*(1+Hipótesis!$D$12)*(1+Hipótesis!$E$12)</f>
        <v/>
      </c>
      <c r="L58" s="28">
        <f>'Proyección de ventas'!L80*MAX(0,Hipótesis!$E$51-Planes!$E$7)*Planes!$F$7*(1+Hipótesis!$D$12)*(1+Hipótesis!$E$12)</f>
        <v/>
      </c>
      <c r="M58" s="28">
        <f>'Proyección de ventas'!M80*MAX(0,Hipótesis!$E$51-Planes!$E$7)*Planes!$F$7*(1+Hipótesis!$D$12)*(1+Hipótesis!$E$12)</f>
        <v/>
      </c>
      <c r="N58" s="28">
        <f>'Proyección de ventas'!N80*MAX(0,Hipótesis!$E$51-Planes!$E$7)*Planes!$F$7*(1+Hipótesis!$D$12)*(1+Hipótesis!$E$12)</f>
        <v/>
      </c>
      <c r="O58" s="29">
        <f>SUM(C58:N58)</f>
        <v/>
      </c>
    </row>
    <row r="59">
      <c r="B59" s="20" t="inlineStr">
        <is>
          <t>Total de la línea</t>
        </is>
      </c>
      <c r="C59" s="18">
        <f>C57+C58</f>
        <v/>
      </c>
      <c r="D59" s="18">
        <f>D57+D58</f>
        <v/>
      </c>
      <c r="E59" s="18">
        <f>E57+E58</f>
        <v/>
      </c>
      <c r="F59" s="18">
        <f>F57+F58</f>
        <v/>
      </c>
      <c r="G59" s="18">
        <f>G57+G58</f>
        <v/>
      </c>
      <c r="H59" s="18">
        <f>H57+H58</f>
        <v/>
      </c>
      <c r="I59" s="18">
        <f>I57+I58</f>
        <v/>
      </c>
      <c r="J59" s="18">
        <f>J57+J58</f>
        <v/>
      </c>
      <c r="K59" s="18">
        <f>K57+K58</f>
        <v/>
      </c>
      <c r="L59" s="18">
        <f>L57+L58</f>
        <v/>
      </c>
      <c r="M59" s="18">
        <f>M57+M58</f>
        <v/>
      </c>
      <c r="N59" s="18">
        <f>N57+N58</f>
        <v/>
      </c>
      <c r="O59" s="29">
        <f>SUM(C59:N59)</f>
        <v/>
      </c>
    </row>
    <row r="60"/>
    <row r="61">
      <c r="B61" s="9" t="inlineStr">
        <is>
          <t>Plan Estándar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>
      <c r="A62" s="20" t="inlineStr">
        <is>
          <t>PLAN ESTÁNDAR</t>
        </is>
      </c>
      <c r="B62" s="13" t="inlineStr">
        <is>
          <t>Ingreso por abono</t>
        </is>
      </c>
      <c r="C62" s="28">
        <f>'Proyección de ventas'!C86*Planes!$D$8*(1+Hipótesis!$D$12)*(1+Hipótesis!$E$12)</f>
        <v/>
      </c>
      <c r="D62" s="28">
        <f>'Proyección de ventas'!D86*Planes!$D$8*(1+Hipótesis!$D$12)*(1+Hipótesis!$E$12)</f>
        <v/>
      </c>
      <c r="E62" s="28">
        <f>'Proyección de ventas'!E86*Planes!$D$8*(1+Hipótesis!$D$12)*(1+Hipótesis!$E$12)</f>
        <v/>
      </c>
      <c r="F62" s="28">
        <f>'Proyección de ventas'!F86*Planes!$D$8*(1+Hipótesis!$D$12)*(1+Hipótesis!$E$12)</f>
        <v/>
      </c>
      <c r="G62" s="28">
        <f>'Proyección de ventas'!G86*Planes!$D$8*(1+Hipótesis!$D$12)*(1+Hipótesis!$E$12)</f>
        <v/>
      </c>
      <c r="H62" s="28">
        <f>'Proyección de ventas'!H86*Planes!$D$8*(1+Hipótesis!$D$12)*(1+Hipótesis!$E$12)</f>
        <v/>
      </c>
      <c r="I62" s="28">
        <f>'Proyección de ventas'!I86*Planes!$D$8*(1+Hipótesis!$D$12)*(1+Hipótesis!$E$12)</f>
        <v/>
      </c>
      <c r="J62" s="28">
        <f>'Proyección de ventas'!J86*Planes!$D$8*(1+Hipótesis!$D$12)*(1+Hipótesis!$E$12)</f>
        <v/>
      </c>
      <c r="K62" s="28">
        <f>'Proyección de ventas'!K86*Planes!$D$8*(1+Hipótesis!$D$12)*(1+Hipótesis!$E$12)</f>
        <v/>
      </c>
      <c r="L62" s="28">
        <f>'Proyección de ventas'!L86*Planes!$D$8*(1+Hipótesis!$D$12)*(1+Hipótesis!$E$12)</f>
        <v/>
      </c>
      <c r="M62" s="28">
        <f>'Proyección de ventas'!M86*Planes!$D$8*(1+Hipótesis!$D$12)*(1+Hipótesis!$E$12)</f>
        <v/>
      </c>
      <c r="N62" s="28">
        <f>'Proyección de ventas'!N86*Planes!$D$8*(1+Hipótesis!$D$12)*(1+Hipótesis!$E$12)</f>
        <v/>
      </c>
      <c r="O62" s="29">
        <f>SUM(C62:N62)</f>
        <v/>
      </c>
    </row>
    <row r="63">
      <c r="B63" s="13" t="inlineStr">
        <is>
          <t xml:space="preserve">    Ingreso por equipos adicionales</t>
        </is>
      </c>
      <c r="C63" s="28">
        <f>'Proyección de ventas'!C86*MAX(0,Hipótesis!$E$52-Planes!$E$8)*Planes!$F$8*(1+Hipótesis!$D$12)*(1+Hipótesis!$E$12)</f>
        <v/>
      </c>
      <c r="D63" s="28">
        <f>'Proyección de ventas'!D86*MAX(0,Hipótesis!$E$52-Planes!$E$8)*Planes!$F$8*(1+Hipótesis!$D$12)*(1+Hipótesis!$E$12)</f>
        <v/>
      </c>
      <c r="E63" s="28">
        <f>'Proyección de ventas'!E86*MAX(0,Hipótesis!$E$52-Planes!$E$8)*Planes!$F$8*(1+Hipótesis!$D$12)*(1+Hipótesis!$E$12)</f>
        <v/>
      </c>
      <c r="F63" s="28">
        <f>'Proyección de ventas'!F86*MAX(0,Hipótesis!$E$52-Planes!$E$8)*Planes!$F$8*(1+Hipótesis!$D$12)*(1+Hipótesis!$E$12)</f>
        <v/>
      </c>
      <c r="G63" s="28">
        <f>'Proyección de ventas'!G86*MAX(0,Hipótesis!$E$52-Planes!$E$8)*Planes!$F$8*(1+Hipótesis!$D$12)*(1+Hipótesis!$E$12)</f>
        <v/>
      </c>
      <c r="H63" s="28">
        <f>'Proyección de ventas'!H86*MAX(0,Hipótesis!$E$52-Planes!$E$8)*Planes!$F$8*(1+Hipótesis!$D$12)*(1+Hipótesis!$E$12)</f>
        <v/>
      </c>
      <c r="I63" s="28">
        <f>'Proyección de ventas'!I86*MAX(0,Hipótesis!$E$52-Planes!$E$8)*Planes!$F$8*(1+Hipótesis!$D$12)*(1+Hipótesis!$E$12)</f>
        <v/>
      </c>
      <c r="J63" s="28">
        <f>'Proyección de ventas'!J86*MAX(0,Hipótesis!$E$52-Planes!$E$8)*Planes!$F$8*(1+Hipótesis!$D$12)*(1+Hipótesis!$E$12)</f>
        <v/>
      </c>
      <c r="K63" s="28">
        <f>'Proyección de ventas'!K86*MAX(0,Hipótesis!$E$52-Planes!$E$8)*Planes!$F$8*(1+Hipótesis!$D$12)*(1+Hipótesis!$E$12)</f>
        <v/>
      </c>
      <c r="L63" s="28">
        <f>'Proyección de ventas'!L86*MAX(0,Hipótesis!$E$52-Planes!$E$8)*Planes!$F$8*(1+Hipótesis!$D$12)*(1+Hipótesis!$E$12)</f>
        <v/>
      </c>
      <c r="M63" s="28">
        <f>'Proyección de ventas'!M86*MAX(0,Hipótesis!$E$52-Planes!$E$8)*Planes!$F$8*(1+Hipótesis!$D$12)*(1+Hipótesis!$E$12)</f>
        <v/>
      </c>
      <c r="N63" s="28">
        <f>'Proyección de ventas'!N86*MAX(0,Hipótesis!$E$52-Planes!$E$8)*Planes!$F$8*(1+Hipótesis!$D$12)*(1+Hipótesis!$E$12)</f>
        <v/>
      </c>
      <c r="O63" s="29">
        <f>SUM(C63:N63)</f>
        <v/>
      </c>
    </row>
    <row r="64">
      <c r="B64" s="20" t="inlineStr">
        <is>
          <t>Total de la línea</t>
        </is>
      </c>
      <c r="C64" s="18">
        <f>C62+C63</f>
        <v/>
      </c>
      <c r="D64" s="18">
        <f>D62+D63</f>
        <v/>
      </c>
      <c r="E64" s="18">
        <f>E62+E63</f>
        <v/>
      </c>
      <c r="F64" s="18">
        <f>F62+F63</f>
        <v/>
      </c>
      <c r="G64" s="18">
        <f>G62+G63</f>
        <v/>
      </c>
      <c r="H64" s="18">
        <f>H62+H63</f>
        <v/>
      </c>
      <c r="I64" s="18">
        <f>I62+I63</f>
        <v/>
      </c>
      <c r="J64" s="18">
        <f>J62+J63</f>
        <v/>
      </c>
      <c r="K64" s="18">
        <f>K62+K63</f>
        <v/>
      </c>
      <c r="L64" s="18">
        <f>L62+L63</f>
        <v/>
      </c>
      <c r="M64" s="18">
        <f>M62+M63</f>
        <v/>
      </c>
      <c r="N64" s="18">
        <f>N62+N63</f>
        <v/>
      </c>
      <c r="O64" s="29">
        <f>SUM(C64:N64)</f>
        <v/>
      </c>
    </row>
    <row r="65"/>
    <row r="66">
      <c r="B66" s="9" t="inlineStr">
        <is>
          <t>Plan Partner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>
      <c r="A67" s="20" t="inlineStr">
        <is>
          <t>PLAN PARTNER</t>
        </is>
      </c>
      <c r="B67" s="13" t="inlineStr">
        <is>
          <t>Ingreso por abono</t>
        </is>
      </c>
      <c r="C67" s="28">
        <f>'Proyección de ventas'!C90*Planes!$D$9*(1+Hipótesis!$D$12)*(1+Hipótesis!$E$12)</f>
        <v/>
      </c>
      <c r="D67" s="28">
        <f>'Proyección de ventas'!D90*Planes!$D$9*(1+Hipótesis!$D$12)*(1+Hipótesis!$E$12)</f>
        <v/>
      </c>
      <c r="E67" s="28">
        <f>'Proyección de ventas'!E90*Planes!$D$9*(1+Hipótesis!$D$12)*(1+Hipótesis!$E$12)</f>
        <v/>
      </c>
      <c r="F67" s="28">
        <f>'Proyección de ventas'!F90*Planes!$D$9*(1+Hipótesis!$D$12)*(1+Hipótesis!$E$12)</f>
        <v/>
      </c>
      <c r="G67" s="28">
        <f>'Proyección de ventas'!G90*Planes!$D$9*(1+Hipótesis!$D$12)*(1+Hipótesis!$E$12)</f>
        <v/>
      </c>
      <c r="H67" s="28">
        <f>'Proyección de ventas'!H90*Planes!$D$9*(1+Hipótesis!$D$12)*(1+Hipótesis!$E$12)</f>
        <v/>
      </c>
      <c r="I67" s="28">
        <f>'Proyección de ventas'!I90*Planes!$D$9*(1+Hipótesis!$D$12)*(1+Hipótesis!$E$12)</f>
        <v/>
      </c>
      <c r="J67" s="28">
        <f>'Proyección de ventas'!J90*Planes!$D$9*(1+Hipótesis!$D$12)*(1+Hipótesis!$E$12)</f>
        <v/>
      </c>
      <c r="K67" s="28">
        <f>'Proyección de ventas'!K90*Planes!$D$9*(1+Hipótesis!$D$12)*(1+Hipótesis!$E$12)</f>
        <v/>
      </c>
      <c r="L67" s="28">
        <f>'Proyección de ventas'!L90*Planes!$D$9*(1+Hipótesis!$D$12)*(1+Hipótesis!$E$12)</f>
        <v/>
      </c>
      <c r="M67" s="28">
        <f>'Proyección de ventas'!M90*Planes!$D$9*(1+Hipótesis!$D$12)*(1+Hipótesis!$E$12)</f>
        <v/>
      </c>
      <c r="N67" s="28">
        <f>'Proyección de ventas'!N90*Planes!$D$9*(1+Hipótesis!$D$12)*(1+Hipótesis!$E$12)</f>
        <v/>
      </c>
      <c r="O67" s="29">
        <f>SUM(C67:N67)</f>
        <v/>
      </c>
    </row>
    <row r="68">
      <c r="B68" s="13" t="inlineStr">
        <is>
          <t xml:space="preserve">    Ingreso por equipos adicionales</t>
        </is>
      </c>
      <c r="C68" s="28">
        <f>'Proyección de ventas'!C90*MAX(0,Hipótesis!$E$53-Planes!$E$9)*Planes!$F$9*(1+Hipótesis!$D$12)*(1+Hipótesis!$E$12)</f>
        <v/>
      </c>
      <c r="D68" s="28">
        <f>'Proyección de ventas'!D90*MAX(0,Hipótesis!$E$53-Planes!$E$9)*Planes!$F$9*(1+Hipótesis!$D$12)*(1+Hipótesis!$E$12)</f>
        <v/>
      </c>
      <c r="E68" s="28">
        <f>'Proyección de ventas'!E90*MAX(0,Hipótesis!$E$53-Planes!$E$9)*Planes!$F$9*(1+Hipótesis!$D$12)*(1+Hipótesis!$E$12)</f>
        <v/>
      </c>
      <c r="F68" s="28">
        <f>'Proyección de ventas'!F90*MAX(0,Hipótesis!$E$53-Planes!$E$9)*Planes!$F$9*(1+Hipótesis!$D$12)*(1+Hipótesis!$E$12)</f>
        <v/>
      </c>
      <c r="G68" s="28">
        <f>'Proyección de ventas'!G90*MAX(0,Hipótesis!$E$53-Planes!$E$9)*Planes!$F$9*(1+Hipótesis!$D$12)*(1+Hipótesis!$E$12)</f>
        <v/>
      </c>
      <c r="H68" s="28">
        <f>'Proyección de ventas'!H90*MAX(0,Hipótesis!$E$53-Planes!$E$9)*Planes!$F$9*(1+Hipótesis!$D$12)*(1+Hipótesis!$E$12)</f>
        <v/>
      </c>
      <c r="I68" s="28">
        <f>'Proyección de ventas'!I90*MAX(0,Hipótesis!$E$53-Planes!$E$9)*Planes!$F$9*(1+Hipótesis!$D$12)*(1+Hipótesis!$E$12)</f>
        <v/>
      </c>
      <c r="J68" s="28">
        <f>'Proyección de ventas'!J90*MAX(0,Hipótesis!$E$53-Planes!$E$9)*Planes!$F$9*(1+Hipótesis!$D$12)*(1+Hipótesis!$E$12)</f>
        <v/>
      </c>
      <c r="K68" s="28">
        <f>'Proyección de ventas'!K90*MAX(0,Hipótesis!$E$53-Planes!$E$9)*Planes!$F$9*(1+Hipótesis!$D$12)*(1+Hipótesis!$E$12)</f>
        <v/>
      </c>
      <c r="L68" s="28">
        <f>'Proyección de ventas'!L90*MAX(0,Hipótesis!$E$53-Planes!$E$9)*Planes!$F$9*(1+Hipótesis!$D$12)*(1+Hipótesis!$E$12)</f>
        <v/>
      </c>
      <c r="M68" s="28">
        <f>'Proyección de ventas'!M90*MAX(0,Hipótesis!$E$53-Planes!$E$9)*Planes!$F$9*(1+Hipótesis!$D$12)*(1+Hipótesis!$E$12)</f>
        <v/>
      </c>
      <c r="N68" s="28">
        <f>'Proyección de ventas'!N90*MAX(0,Hipótesis!$E$53-Planes!$E$9)*Planes!$F$9*(1+Hipótesis!$D$12)*(1+Hipótesis!$E$12)</f>
        <v/>
      </c>
      <c r="O68" s="29">
        <f>SUM(C68:N68)</f>
        <v/>
      </c>
    </row>
    <row r="69">
      <c r="B69" s="20" t="inlineStr">
        <is>
          <t>Total de la línea</t>
        </is>
      </c>
      <c r="C69" s="18">
        <f>C67+C68</f>
        <v/>
      </c>
      <c r="D69" s="18">
        <f>D67+D68</f>
        <v/>
      </c>
      <c r="E69" s="18">
        <f>E67+E68</f>
        <v/>
      </c>
      <c r="F69" s="18">
        <f>F67+F68</f>
        <v/>
      </c>
      <c r="G69" s="18">
        <f>G67+G68</f>
        <v/>
      </c>
      <c r="H69" s="18">
        <f>H67+H68</f>
        <v/>
      </c>
      <c r="I69" s="18">
        <f>I67+I68</f>
        <v/>
      </c>
      <c r="J69" s="18">
        <f>J67+J68</f>
        <v/>
      </c>
      <c r="K69" s="18">
        <f>K67+K68</f>
        <v/>
      </c>
      <c r="L69" s="18">
        <f>L67+L68</f>
        <v/>
      </c>
      <c r="M69" s="18">
        <f>M67+M68</f>
        <v/>
      </c>
      <c r="N69" s="18">
        <f>N67+N68</f>
        <v/>
      </c>
      <c r="O69" s="29">
        <f>SUM(C69:N69)</f>
        <v/>
      </c>
    </row>
    <row r="70"/>
    <row r="71">
      <c r="B71" s="9" t="inlineStr">
        <is>
          <t>Total de ingresos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</row>
    <row r="72">
      <c r="A72" s="20" t="inlineStr">
        <is>
          <t>TOTAL</t>
        </is>
      </c>
      <c r="B72" s="20" t="inlineStr">
        <is>
          <t>Ingresos del mes</t>
        </is>
      </c>
      <c r="C72" s="18">
        <f>C59+C64+C69</f>
        <v/>
      </c>
      <c r="D72" s="18">
        <f>D59+D64+D69</f>
        <v/>
      </c>
      <c r="E72" s="18">
        <f>E59+E64+E69</f>
        <v/>
      </c>
      <c r="F72" s="18">
        <f>F59+F64+F69</f>
        <v/>
      </c>
      <c r="G72" s="18">
        <f>G59+G64+G69</f>
        <v/>
      </c>
      <c r="H72" s="18">
        <f>H59+H64+H69</f>
        <v/>
      </c>
      <c r="I72" s="18">
        <f>I59+I64+I69</f>
        <v/>
      </c>
      <c r="J72" s="18">
        <f>J59+J64+J69</f>
        <v/>
      </c>
      <c r="K72" s="18">
        <f>K59+K64+K69</f>
        <v/>
      </c>
      <c r="L72" s="18">
        <f>L59+L64+L69</f>
        <v/>
      </c>
      <c r="M72" s="18">
        <f>M59+M64+M69</f>
        <v/>
      </c>
      <c r="N72" s="18">
        <f>N59+N64+N69</f>
        <v/>
      </c>
      <c r="O72" s="29">
        <f>SUM(C72:N72)</f>
        <v/>
      </c>
    </row>
    <row r="73">
      <c r="B73" s="13" t="inlineStr">
        <is>
          <t xml:space="preserve">    Ingreso promedio por cliente</t>
        </is>
      </c>
      <c r="C73" s="28">
        <f>IFERROR(C72/'Proyección de ventas'!C93,0)</f>
        <v/>
      </c>
      <c r="D73" s="28">
        <f>IFERROR(D72/'Proyección de ventas'!D93,0)</f>
        <v/>
      </c>
      <c r="E73" s="28">
        <f>IFERROR(E72/'Proyección de ventas'!E93,0)</f>
        <v/>
      </c>
      <c r="F73" s="28">
        <f>IFERROR(F72/'Proyección de ventas'!F93,0)</f>
        <v/>
      </c>
      <c r="G73" s="28">
        <f>IFERROR(G72/'Proyección de ventas'!G93,0)</f>
        <v/>
      </c>
      <c r="H73" s="28">
        <f>IFERROR(H72/'Proyección de ventas'!H93,0)</f>
        <v/>
      </c>
      <c r="I73" s="28">
        <f>IFERROR(I72/'Proyección de ventas'!I93,0)</f>
        <v/>
      </c>
      <c r="J73" s="28">
        <f>IFERROR(J72/'Proyección de ventas'!J93,0)</f>
        <v/>
      </c>
      <c r="K73" s="28">
        <f>IFERROR(K72/'Proyección de ventas'!K93,0)</f>
        <v/>
      </c>
      <c r="L73" s="28">
        <f>IFERROR(L72/'Proyección de ventas'!L93,0)</f>
        <v/>
      </c>
      <c r="M73" s="28">
        <f>IFERROR(M72/'Proyección de ventas'!M93,0)</f>
        <v/>
      </c>
      <c r="N73" s="28">
        <f>IFERROR(N72/'Proyección de ventas'!N93,0)</f>
        <v/>
      </c>
    </row>
    <row r="74"/>
    <row r="75"/>
    <row r="76">
      <c r="C76" s="5" t="n">
        <v>2030</v>
      </c>
    </row>
    <row r="77">
      <c r="C77" s="26" t="inlineStr">
        <is>
          <t>Ene</t>
        </is>
      </c>
      <c r="D77" s="26" t="inlineStr">
        <is>
          <t>Feb</t>
        </is>
      </c>
      <c r="E77" s="26" t="inlineStr">
        <is>
          <t>Mar</t>
        </is>
      </c>
      <c r="F77" s="26" t="inlineStr">
        <is>
          <t>Abr</t>
        </is>
      </c>
      <c r="G77" s="26" t="inlineStr">
        <is>
          <t>May</t>
        </is>
      </c>
      <c r="H77" s="26" t="inlineStr">
        <is>
          <t>Jun</t>
        </is>
      </c>
      <c r="I77" s="26" t="inlineStr">
        <is>
          <t>Jul</t>
        </is>
      </c>
      <c r="J77" s="26" t="inlineStr">
        <is>
          <t>Ago</t>
        </is>
      </c>
      <c r="K77" s="26" t="inlineStr">
        <is>
          <t>Sep</t>
        </is>
      </c>
      <c r="L77" s="26" t="inlineStr">
        <is>
          <t>Oct</t>
        </is>
      </c>
      <c r="M77" s="26" t="inlineStr">
        <is>
          <t>Nov</t>
        </is>
      </c>
      <c r="N77" s="26" t="inlineStr">
        <is>
          <t>Dic</t>
        </is>
      </c>
      <c r="O77" s="27" t="inlineStr">
        <is>
          <t>Total 2030</t>
        </is>
      </c>
    </row>
    <row r="78"/>
    <row r="79">
      <c r="B79" s="9" t="inlineStr">
        <is>
          <t>Plan Inicial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>
      <c r="A80" s="20" t="inlineStr">
        <is>
          <t>PLAN INICIAL</t>
        </is>
      </c>
      <c r="B80" s="13" t="inlineStr">
        <is>
          <t>Ingreso por abono</t>
        </is>
      </c>
      <c r="C80" s="28">
        <f>'Proyección de ventas'!C110*Planes!$D$7*(1+Hipótesis!$D$12)*(1+Hipótesis!$E$12)*(1+Hipótesis!$F$12)</f>
        <v/>
      </c>
      <c r="D80" s="28">
        <f>'Proyección de ventas'!D110*Planes!$D$7*(1+Hipótesis!$D$12)*(1+Hipótesis!$E$12)*(1+Hipótesis!$F$12)</f>
        <v/>
      </c>
      <c r="E80" s="28">
        <f>'Proyección de ventas'!E110*Planes!$D$7*(1+Hipótesis!$D$12)*(1+Hipótesis!$E$12)*(1+Hipótesis!$F$12)</f>
        <v/>
      </c>
      <c r="F80" s="28">
        <f>'Proyección de ventas'!F110*Planes!$D$7*(1+Hipótesis!$D$12)*(1+Hipótesis!$E$12)*(1+Hipótesis!$F$12)</f>
        <v/>
      </c>
      <c r="G80" s="28">
        <f>'Proyección de ventas'!G110*Planes!$D$7*(1+Hipótesis!$D$12)*(1+Hipótesis!$E$12)*(1+Hipótesis!$F$12)</f>
        <v/>
      </c>
      <c r="H80" s="28">
        <f>'Proyección de ventas'!H110*Planes!$D$7*(1+Hipótesis!$D$12)*(1+Hipótesis!$E$12)*(1+Hipótesis!$F$12)</f>
        <v/>
      </c>
      <c r="I80" s="28">
        <f>'Proyección de ventas'!I110*Planes!$D$7*(1+Hipótesis!$D$12)*(1+Hipótesis!$E$12)*(1+Hipótesis!$F$12)</f>
        <v/>
      </c>
      <c r="J80" s="28">
        <f>'Proyección de ventas'!J110*Planes!$D$7*(1+Hipótesis!$D$12)*(1+Hipótesis!$E$12)*(1+Hipótesis!$F$12)</f>
        <v/>
      </c>
      <c r="K80" s="28">
        <f>'Proyección de ventas'!K110*Planes!$D$7*(1+Hipótesis!$D$12)*(1+Hipótesis!$E$12)*(1+Hipótesis!$F$12)</f>
        <v/>
      </c>
      <c r="L80" s="28">
        <f>'Proyección de ventas'!L110*Planes!$D$7*(1+Hipótesis!$D$12)*(1+Hipótesis!$E$12)*(1+Hipótesis!$F$12)</f>
        <v/>
      </c>
      <c r="M80" s="28">
        <f>'Proyección de ventas'!M110*Planes!$D$7*(1+Hipótesis!$D$12)*(1+Hipótesis!$E$12)*(1+Hipótesis!$F$12)</f>
        <v/>
      </c>
      <c r="N80" s="28">
        <f>'Proyección de ventas'!N110*Planes!$D$7*(1+Hipótesis!$D$12)*(1+Hipótesis!$E$12)*(1+Hipótesis!$F$12)</f>
        <v/>
      </c>
      <c r="O80" s="29">
        <f>SUM(C80:N80)</f>
        <v/>
      </c>
    </row>
    <row r="81">
      <c r="B81" s="13" t="inlineStr">
        <is>
          <t xml:space="preserve">    Ingreso por equipos adicionales</t>
        </is>
      </c>
      <c r="C81" s="28">
        <f>'Proyección de ventas'!C110*MAX(0,Hipótesis!$F$51-Planes!$E$7)*Planes!$F$7*(1+Hipótesis!$D$12)*(1+Hipótesis!$E$12)*(1+Hipótesis!$F$12)</f>
        <v/>
      </c>
      <c r="D81" s="28">
        <f>'Proyección de ventas'!D110*MAX(0,Hipótesis!$F$51-Planes!$E$7)*Planes!$F$7*(1+Hipótesis!$D$12)*(1+Hipótesis!$E$12)*(1+Hipótesis!$F$12)</f>
        <v/>
      </c>
      <c r="E81" s="28">
        <f>'Proyección de ventas'!E110*MAX(0,Hipótesis!$F$51-Planes!$E$7)*Planes!$F$7*(1+Hipótesis!$D$12)*(1+Hipótesis!$E$12)*(1+Hipótesis!$F$12)</f>
        <v/>
      </c>
      <c r="F81" s="28">
        <f>'Proyección de ventas'!F110*MAX(0,Hipótesis!$F$51-Planes!$E$7)*Planes!$F$7*(1+Hipótesis!$D$12)*(1+Hipótesis!$E$12)*(1+Hipótesis!$F$12)</f>
        <v/>
      </c>
      <c r="G81" s="28">
        <f>'Proyección de ventas'!G110*MAX(0,Hipótesis!$F$51-Planes!$E$7)*Planes!$F$7*(1+Hipótesis!$D$12)*(1+Hipótesis!$E$12)*(1+Hipótesis!$F$12)</f>
        <v/>
      </c>
      <c r="H81" s="28">
        <f>'Proyección de ventas'!H110*MAX(0,Hipótesis!$F$51-Planes!$E$7)*Planes!$F$7*(1+Hipótesis!$D$12)*(1+Hipótesis!$E$12)*(1+Hipótesis!$F$12)</f>
        <v/>
      </c>
      <c r="I81" s="28">
        <f>'Proyección de ventas'!I110*MAX(0,Hipótesis!$F$51-Planes!$E$7)*Planes!$F$7*(1+Hipótesis!$D$12)*(1+Hipótesis!$E$12)*(1+Hipótesis!$F$12)</f>
        <v/>
      </c>
      <c r="J81" s="28">
        <f>'Proyección de ventas'!J110*MAX(0,Hipótesis!$F$51-Planes!$E$7)*Planes!$F$7*(1+Hipótesis!$D$12)*(1+Hipótesis!$E$12)*(1+Hipótesis!$F$12)</f>
        <v/>
      </c>
      <c r="K81" s="28">
        <f>'Proyección de ventas'!K110*MAX(0,Hipótesis!$F$51-Planes!$E$7)*Planes!$F$7*(1+Hipótesis!$D$12)*(1+Hipótesis!$E$12)*(1+Hipótesis!$F$12)</f>
        <v/>
      </c>
      <c r="L81" s="28">
        <f>'Proyección de ventas'!L110*MAX(0,Hipótesis!$F$51-Planes!$E$7)*Planes!$F$7*(1+Hipótesis!$D$12)*(1+Hipótesis!$E$12)*(1+Hipótesis!$F$12)</f>
        <v/>
      </c>
      <c r="M81" s="28">
        <f>'Proyección de ventas'!M110*MAX(0,Hipótesis!$F$51-Planes!$E$7)*Planes!$F$7*(1+Hipótesis!$D$12)*(1+Hipótesis!$E$12)*(1+Hipótesis!$F$12)</f>
        <v/>
      </c>
      <c r="N81" s="28">
        <f>'Proyección de ventas'!N110*MAX(0,Hipótesis!$F$51-Planes!$E$7)*Planes!$F$7*(1+Hipótesis!$D$12)*(1+Hipótesis!$E$12)*(1+Hipótesis!$F$12)</f>
        <v/>
      </c>
      <c r="O81" s="29">
        <f>SUM(C81:N81)</f>
        <v/>
      </c>
    </row>
    <row r="82">
      <c r="B82" s="20" t="inlineStr">
        <is>
          <t>Total de la línea</t>
        </is>
      </c>
      <c r="C82" s="18">
        <f>C80+C81</f>
        <v/>
      </c>
      <c r="D82" s="18">
        <f>D80+D81</f>
        <v/>
      </c>
      <c r="E82" s="18">
        <f>E80+E81</f>
        <v/>
      </c>
      <c r="F82" s="18">
        <f>F80+F81</f>
        <v/>
      </c>
      <c r="G82" s="18">
        <f>G80+G81</f>
        <v/>
      </c>
      <c r="H82" s="18">
        <f>H80+H81</f>
        <v/>
      </c>
      <c r="I82" s="18">
        <f>I80+I81</f>
        <v/>
      </c>
      <c r="J82" s="18">
        <f>J80+J81</f>
        <v/>
      </c>
      <c r="K82" s="18">
        <f>K80+K81</f>
        <v/>
      </c>
      <c r="L82" s="18">
        <f>L80+L81</f>
        <v/>
      </c>
      <c r="M82" s="18">
        <f>M80+M81</f>
        <v/>
      </c>
      <c r="N82" s="18">
        <f>N80+N81</f>
        <v/>
      </c>
      <c r="O82" s="29">
        <f>SUM(C82:N82)</f>
        <v/>
      </c>
    </row>
    <row r="83"/>
    <row r="84">
      <c r="B84" s="9" t="inlineStr">
        <is>
          <t>Plan Estándar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</row>
    <row r="85">
      <c r="A85" s="20" t="inlineStr">
        <is>
          <t>PLAN ESTÁNDAR</t>
        </is>
      </c>
      <c r="B85" s="13" t="inlineStr">
        <is>
          <t>Ingreso por abono</t>
        </is>
      </c>
      <c r="C85" s="28">
        <f>'Proyección de ventas'!C116*Planes!$D$8*(1+Hipótesis!$D$12)*(1+Hipótesis!$E$12)*(1+Hipótesis!$F$12)</f>
        <v/>
      </c>
      <c r="D85" s="28">
        <f>'Proyección de ventas'!D116*Planes!$D$8*(1+Hipótesis!$D$12)*(1+Hipótesis!$E$12)*(1+Hipótesis!$F$12)</f>
        <v/>
      </c>
      <c r="E85" s="28">
        <f>'Proyección de ventas'!E116*Planes!$D$8*(1+Hipótesis!$D$12)*(1+Hipótesis!$E$12)*(1+Hipótesis!$F$12)</f>
        <v/>
      </c>
      <c r="F85" s="28">
        <f>'Proyección de ventas'!F116*Planes!$D$8*(1+Hipótesis!$D$12)*(1+Hipótesis!$E$12)*(1+Hipótesis!$F$12)</f>
        <v/>
      </c>
      <c r="G85" s="28">
        <f>'Proyección de ventas'!G116*Planes!$D$8*(1+Hipótesis!$D$12)*(1+Hipótesis!$E$12)*(1+Hipótesis!$F$12)</f>
        <v/>
      </c>
      <c r="H85" s="28">
        <f>'Proyección de ventas'!H116*Planes!$D$8*(1+Hipótesis!$D$12)*(1+Hipótesis!$E$12)*(1+Hipótesis!$F$12)</f>
        <v/>
      </c>
      <c r="I85" s="28">
        <f>'Proyección de ventas'!I116*Planes!$D$8*(1+Hipótesis!$D$12)*(1+Hipótesis!$E$12)*(1+Hipótesis!$F$12)</f>
        <v/>
      </c>
      <c r="J85" s="28">
        <f>'Proyección de ventas'!J116*Planes!$D$8*(1+Hipótesis!$D$12)*(1+Hipótesis!$E$12)*(1+Hipótesis!$F$12)</f>
        <v/>
      </c>
      <c r="K85" s="28">
        <f>'Proyección de ventas'!K116*Planes!$D$8*(1+Hipótesis!$D$12)*(1+Hipótesis!$E$12)*(1+Hipótesis!$F$12)</f>
        <v/>
      </c>
      <c r="L85" s="28">
        <f>'Proyección de ventas'!L116*Planes!$D$8*(1+Hipótesis!$D$12)*(1+Hipótesis!$E$12)*(1+Hipótesis!$F$12)</f>
        <v/>
      </c>
      <c r="M85" s="28">
        <f>'Proyección de ventas'!M116*Planes!$D$8*(1+Hipótesis!$D$12)*(1+Hipótesis!$E$12)*(1+Hipótesis!$F$12)</f>
        <v/>
      </c>
      <c r="N85" s="28">
        <f>'Proyección de ventas'!N116*Planes!$D$8*(1+Hipótesis!$D$12)*(1+Hipótesis!$E$12)*(1+Hipótesis!$F$12)</f>
        <v/>
      </c>
      <c r="O85" s="29">
        <f>SUM(C85:N85)</f>
        <v/>
      </c>
    </row>
    <row r="86">
      <c r="B86" s="13" t="inlineStr">
        <is>
          <t xml:space="preserve">    Ingreso por equipos adicionales</t>
        </is>
      </c>
      <c r="C86" s="28">
        <f>'Proyección de ventas'!C116*MAX(0,Hipótesis!$F$52-Planes!$E$8)*Planes!$F$8*(1+Hipótesis!$D$12)*(1+Hipótesis!$E$12)*(1+Hipótesis!$F$12)</f>
        <v/>
      </c>
      <c r="D86" s="28">
        <f>'Proyección de ventas'!D116*MAX(0,Hipótesis!$F$52-Planes!$E$8)*Planes!$F$8*(1+Hipótesis!$D$12)*(1+Hipótesis!$E$12)*(1+Hipótesis!$F$12)</f>
        <v/>
      </c>
      <c r="E86" s="28">
        <f>'Proyección de ventas'!E116*MAX(0,Hipótesis!$F$52-Planes!$E$8)*Planes!$F$8*(1+Hipótesis!$D$12)*(1+Hipótesis!$E$12)*(1+Hipótesis!$F$12)</f>
        <v/>
      </c>
      <c r="F86" s="28">
        <f>'Proyección de ventas'!F116*MAX(0,Hipótesis!$F$52-Planes!$E$8)*Planes!$F$8*(1+Hipótesis!$D$12)*(1+Hipótesis!$E$12)*(1+Hipótesis!$F$12)</f>
        <v/>
      </c>
      <c r="G86" s="28">
        <f>'Proyección de ventas'!G116*MAX(0,Hipótesis!$F$52-Planes!$E$8)*Planes!$F$8*(1+Hipótesis!$D$12)*(1+Hipótesis!$E$12)*(1+Hipótesis!$F$12)</f>
        <v/>
      </c>
      <c r="H86" s="28">
        <f>'Proyección de ventas'!H116*MAX(0,Hipótesis!$F$52-Planes!$E$8)*Planes!$F$8*(1+Hipótesis!$D$12)*(1+Hipótesis!$E$12)*(1+Hipótesis!$F$12)</f>
        <v/>
      </c>
      <c r="I86" s="28">
        <f>'Proyección de ventas'!I116*MAX(0,Hipótesis!$F$52-Planes!$E$8)*Planes!$F$8*(1+Hipótesis!$D$12)*(1+Hipótesis!$E$12)*(1+Hipótesis!$F$12)</f>
        <v/>
      </c>
      <c r="J86" s="28">
        <f>'Proyección de ventas'!J116*MAX(0,Hipótesis!$F$52-Planes!$E$8)*Planes!$F$8*(1+Hipótesis!$D$12)*(1+Hipótesis!$E$12)*(1+Hipótesis!$F$12)</f>
        <v/>
      </c>
      <c r="K86" s="28">
        <f>'Proyección de ventas'!K116*MAX(0,Hipótesis!$F$52-Planes!$E$8)*Planes!$F$8*(1+Hipótesis!$D$12)*(1+Hipótesis!$E$12)*(1+Hipótesis!$F$12)</f>
        <v/>
      </c>
      <c r="L86" s="28">
        <f>'Proyección de ventas'!L116*MAX(0,Hipótesis!$F$52-Planes!$E$8)*Planes!$F$8*(1+Hipótesis!$D$12)*(1+Hipótesis!$E$12)*(1+Hipótesis!$F$12)</f>
        <v/>
      </c>
      <c r="M86" s="28">
        <f>'Proyección de ventas'!M116*MAX(0,Hipótesis!$F$52-Planes!$E$8)*Planes!$F$8*(1+Hipótesis!$D$12)*(1+Hipótesis!$E$12)*(1+Hipótesis!$F$12)</f>
        <v/>
      </c>
      <c r="N86" s="28">
        <f>'Proyección de ventas'!N116*MAX(0,Hipótesis!$F$52-Planes!$E$8)*Planes!$F$8*(1+Hipótesis!$D$12)*(1+Hipótesis!$E$12)*(1+Hipótesis!$F$12)</f>
        <v/>
      </c>
      <c r="O86" s="29">
        <f>SUM(C86:N86)</f>
        <v/>
      </c>
    </row>
    <row r="87">
      <c r="B87" s="20" t="inlineStr">
        <is>
          <t>Total de la línea</t>
        </is>
      </c>
      <c r="C87" s="18">
        <f>C85+C86</f>
        <v/>
      </c>
      <c r="D87" s="18">
        <f>D85+D86</f>
        <v/>
      </c>
      <c r="E87" s="18">
        <f>E85+E86</f>
        <v/>
      </c>
      <c r="F87" s="18">
        <f>F85+F86</f>
        <v/>
      </c>
      <c r="G87" s="18">
        <f>G85+G86</f>
        <v/>
      </c>
      <c r="H87" s="18">
        <f>H85+H86</f>
        <v/>
      </c>
      <c r="I87" s="18">
        <f>I85+I86</f>
        <v/>
      </c>
      <c r="J87" s="18">
        <f>J85+J86</f>
        <v/>
      </c>
      <c r="K87" s="18">
        <f>K85+K86</f>
        <v/>
      </c>
      <c r="L87" s="18">
        <f>L85+L86</f>
        <v/>
      </c>
      <c r="M87" s="18">
        <f>M85+M86</f>
        <v/>
      </c>
      <c r="N87" s="18">
        <f>N85+N86</f>
        <v/>
      </c>
      <c r="O87" s="29">
        <f>SUM(C87:N87)</f>
        <v/>
      </c>
    </row>
    <row r="88"/>
    <row r="89">
      <c r="B89" s="9" t="inlineStr">
        <is>
          <t>Plan Partner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</row>
    <row r="90">
      <c r="A90" s="20" t="inlineStr">
        <is>
          <t>PLAN PARTNER</t>
        </is>
      </c>
      <c r="B90" s="13" t="inlineStr">
        <is>
          <t>Ingreso por abono</t>
        </is>
      </c>
      <c r="C90" s="28">
        <f>'Proyección de ventas'!C120*Planes!$D$9*(1+Hipótesis!$D$12)*(1+Hipótesis!$E$12)*(1+Hipótesis!$F$12)</f>
        <v/>
      </c>
      <c r="D90" s="28">
        <f>'Proyección de ventas'!D120*Planes!$D$9*(1+Hipótesis!$D$12)*(1+Hipótesis!$E$12)*(1+Hipótesis!$F$12)</f>
        <v/>
      </c>
      <c r="E90" s="28">
        <f>'Proyección de ventas'!E120*Planes!$D$9*(1+Hipótesis!$D$12)*(1+Hipótesis!$E$12)*(1+Hipótesis!$F$12)</f>
        <v/>
      </c>
      <c r="F90" s="28">
        <f>'Proyección de ventas'!F120*Planes!$D$9*(1+Hipótesis!$D$12)*(1+Hipótesis!$E$12)*(1+Hipótesis!$F$12)</f>
        <v/>
      </c>
      <c r="G90" s="28">
        <f>'Proyección de ventas'!G120*Planes!$D$9*(1+Hipótesis!$D$12)*(1+Hipótesis!$E$12)*(1+Hipótesis!$F$12)</f>
        <v/>
      </c>
      <c r="H90" s="28">
        <f>'Proyección de ventas'!H120*Planes!$D$9*(1+Hipótesis!$D$12)*(1+Hipótesis!$E$12)*(1+Hipótesis!$F$12)</f>
        <v/>
      </c>
      <c r="I90" s="28">
        <f>'Proyección de ventas'!I120*Planes!$D$9*(1+Hipótesis!$D$12)*(1+Hipótesis!$E$12)*(1+Hipótesis!$F$12)</f>
        <v/>
      </c>
      <c r="J90" s="28">
        <f>'Proyección de ventas'!J120*Planes!$D$9*(1+Hipótesis!$D$12)*(1+Hipótesis!$E$12)*(1+Hipótesis!$F$12)</f>
        <v/>
      </c>
      <c r="K90" s="28">
        <f>'Proyección de ventas'!K120*Planes!$D$9*(1+Hipótesis!$D$12)*(1+Hipótesis!$E$12)*(1+Hipótesis!$F$12)</f>
        <v/>
      </c>
      <c r="L90" s="28">
        <f>'Proyección de ventas'!L120*Planes!$D$9*(1+Hipótesis!$D$12)*(1+Hipótesis!$E$12)*(1+Hipótesis!$F$12)</f>
        <v/>
      </c>
      <c r="M90" s="28">
        <f>'Proyección de ventas'!M120*Planes!$D$9*(1+Hipótesis!$D$12)*(1+Hipótesis!$E$12)*(1+Hipótesis!$F$12)</f>
        <v/>
      </c>
      <c r="N90" s="28">
        <f>'Proyección de ventas'!N120*Planes!$D$9*(1+Hipótesis!$D$12)*(1+Hipótesis!$E$12)*(1+Hipótesis!$F$12)</f>
        <v/>
      </c>
      <c r="O90" s="29">
        <f>SUM(C90:N90)</f>
        <v/>
      </c>
    </row>
    <row r="91">
      <c r="B91" s="13" t="inlineStr">
        <is>
          <t xml:space="preserve">    Ingreso por equipos adicionales</t>
        </is>
      </c>
      <c r="C91" s="28">
        <f>'Proyección de ventas'!C120*MAX(0,Hipótesis!$F$53-Planes!$E$9)*Planes!$F$9*(1+Hipótesis!$D$12)*(1+Hipótesis!$E$12)*(1+Hipótesis!$F$12)</f>
        <v/>
      </c>
      <c r="D91" s="28">
        <f>'Proyección de ventas'!D120*MAX(0,Hipótesis!$F$53-Planes!$E$9)*Planes!$F$9*(1+Hipótesis!$D$12)*(1+Hipótesis!$E$12)*(1+Hipótesis!$F$12)</f>
        <v/>
      </c>
      <c r="E91" s="28">
        <f>'Proyección de ventas'!E120*MAX(0,Hipótesis!$F$53-Planes!$E$9)*Planes!$F$9*(1+Hipótesis!$D$12)*(1+Hipótesis!$E$12)*(1+Hipótesis!$F$12)</f>
        <v/>
      </c>
      <c r="F91" s="28">
        <f>'Proyección de ventas'!F120*MAX(0,Hipótesis!$F$53-Planes!$E$9)*Planes!$F$9*(1+Hipótesis!$D$12)*(1+Hipótesis!$E$12)*(1+Hipótesis!$F$12)</f>
        <v/>
      </c>
      <c r="G91" s="28">
        <f>'Proyección de ventas'!G120*MAX(0,Hipótesis!$F$53-Planes!$E$9)*Planes!$F$9*(1+Hipótesis!$D$12)*(1+Hipótesis!$E$12)*(1+Hipótesis!$F$12)</f>
        <v/>
      </c>
      <c r="H91" s="28">
        <f>'Proyección de ventas'!H120*MAX(0,Hipótesis!$F$53-Planes!$E$9)*Planes!$F$9*(1+Hipótesis!$D$12)*(1+Hipótesis!$E$12)*(1+Hipótesis!$F$12)</f>
        <v/>
      </c>
      <c r="I91" s="28">
        <f>'Proyección de ventas'!I120*MAX(0,Hipótesis!$F$53-Planes!$E$9)*Planes!$F$9*(1+Hipótesis!$D$12)*(1+Hipótesis!$E$12)*(1+Hipótesis!$F$12)</f>
        <v/>
      </c>
      <c r="J91" s="28">
        <f>'Proyección de ventas'!J120*MAX(0,Hipótesis!$F$53-Planes!$E$9)*Planes!$F$9*(1+Hipótesis!$D$12)*(1+Hipótesis!$E$12)*(1+Hipótesis!$F$12)</f>
        <v/>
      </c>
      <c r="K91" s="28">
        <f>'Proyección de ventas'!K120*MAX(0,Hipótesis!$F$53-Planes!$E$9)*Planes!$F$9*(1+Hipótesis!$D$12)*(1+Hipótesis!$E$12)*(1+Hipótesis!$F$12)</f>
        <v/>
      </c>
      <c r="L91" s="28">
        <f>'Proyección de ventas'!L120*MAX(0,Hipótesis!$F$53-Planes!$E$9)*Planes!$F$9*(1+Hipótesis!$D$12)*(1+Hipótesis!$E$12)*(1+Hipótesis!$F$12)</f>
        <v/>
      </c>
      <c r="M91" s="28">
        <f>'Proyección de ventas'!M120*MAX(0,Hipótesis!$F$53-Planes!$E$9)*Planes!$F$9*(1+Hipótesis!$D$12)*(1+Hipótesis!$E$12)*(1+Hipótesis!$F$12)</f>
        <v/>
      </c>
      <c r="N91" s="28">
        <f>'Proyección de ventas'!N120*MAX(0,Hipótesis!$F$53-Planes!$E$9)*Planes!$F$9*(1+Hipótesis!$D$12)*(1+Hipótesis!$E$12)*(1+Hipótesis!$F$12)</f>
        <v/>
      </c>
      <c r="O91" s="29">
        <f>SUM(C91:N91)</f>
        <v/>
      </c>
    </row>
    <row r="92">
      <c r="B92" s="20" t="inlineStr">
        <is>
          <t>Total de la línea</t>
        </is>
      </c>
      <c r="C92" s="18">
        <f>C90+C91</f>
        <v/>
      </c>
      <c r="D92" s="18">
        <f>D90+D91</f>
        <v/>
      </c>
      <c r="E92" s="18">
        <f>E90+E91</f>
        <v/>
      </c>
      <c r="F92" s="18">
        <f>F90+F91</f>
        <v/>
      </c>
      <c r="G92" s="18">
        <f>G90+G91</f>
        <v/>
      </c>
      <c r="H92" s="18">
        <f>H90+H91</f>
        <v/>
      </c>
      <c r="I92" s="18">
        <f>I90+I91</f>
        <v/>
      </c>
      <c r="J92" s="18">
        <f>J90+J91</f>
        <v/>
      </c>
      <c r="K92" s="18">
        <f>K90+K91</f>
        <v/>
      </c>
      <c r="L92" s="18">
        <f>L90+L91</f>
        <v/>
      </c>
      <c r="M92" s="18">
        <f>M90+M91</f>
        <v/>
      </c>
      <c r="N92" s="18">
        <f>N90+N91</f>
        <v/>
      </c>
      <c r="O92" s="29">
        <f>SUM(C92:N92)</f>
        <v/>
      </c>
    </row>
    <row r="93"/>
    <row r="94">
      <c r="B94" s="9" t="inlineStr">
        <is>
          <t>Total de ingresos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</row>
    <row r="95">
      <c r="A95" s="20" t="inlineStr">
        <is>
          <t>TOTAL</t>
        </is>
      </c>
      <c r="B95" s="20" t="inlineStr">
        <is>
          <t>Ingresos del mes</t>
        </is>
      </c>
      <c r="C95" s="18">
        <f>C82+C87+C92</f>
        <v/>
      </c>
      <c r="D95" s="18">
        <f>D82+D87+D92</f>
        <v/>
      </c>
      <c r="E95" s="18">
        <f>E82+E87+E92</f>
        <v/>
      </c>
      <c r="F95" s="18">
        <f>F82+F87+F92</f>
        <v/>
      </c>
      <c r="G95" s="18">
        <f>G82+G87+G92</f>
        <v/>
      </c>
      <c r="H95" s="18">
        <f>H82+H87+H92</f>
        <v/>
      </c>
      <c r="I95" s="18">
        <f>I82+I87+I92</f>
        <v/>
      </c>
      <c r="J95" s="18">
        <f>J82+J87+J92</f>
        <v/>
      </c>
      <c r="K95" s="18">
        <f>K82+K87+K92</f>
        <v/>
      </c>
      <c r="L95" s="18">
        <f>L82+L87+L92</f>
        <v/>
      </c>
      <c r="M95" s="18">
        <f>M82+M87+M92</f>
        <v/>
      </c>
      <c r="N95" s="18">
        <f>N82+N87+N92</f>
        <v/>
      </c>
      <c r="O95" s="29">
        <f>SUM(C95:N95)</f>
        <v/>
      </c>
    </row>
    <row r="96">
      <c r="B96" s="13" t="inlineStr">
        <is>
          <t xml:space="preserve">    Ingreso promedio por cliente</t>
        </is>
      </c>
      <c r="C96" s="28">
        <f>IFERROR(C95/'Proyección de ventas'!C123,0)</f>
        <v/>
      </c>
      <c r="D96" s="28">
        <f>IFERROR(D95/'Proyección de ventas'!D123,0)</f>
        <v/>
      </c>
      <c r="E96" s="28">
        <f>IFERROR(E95/'Proyección de ventas'!E123,0)</f>
        <v/>
      </c>
      <c r="F96" s="28">
        <f>IFERROR(F95/'Proyección de ventas'!F123,0)</f>
        <v/>
      </c>
      <c r="G96" s="28">
        <f>IFERROR(G95/'Proyección de ventas'!G123,0)</f>
        <v/>
      </c>
      <c r="H96" s="28">
        <f>IFERROR(H95/'Proyección de ventas'!H123,0)</f>
        <v/>
      </c>
      <c r="I96" s="28">
        <f>IFERROR(I95/'Proyección de ventas'!I123,0)</f>
        <v/>
      </c>
      <c r="J96" s="28">
        <f>IFERROR(J95/'Proyección de ventas'!J123,0)</f>
        <v/>
      </c>
      <c r="K96" s="28">
        <f>IFERROR(K95/'Proyección de ventas'!K123,0)</f>
        <v/>
      </c>
      <c r="L96" s="28">
        <f>IFERROR(L95/'Proyección de ventas'!L123,0)</f>
        <v/>
      </c>
      <c r="M96" s="28">
        <f>IFERROR(M95/'Proyección de ventas'!M123,0)</f>
        <v/>
      </c>
      <c r="N96" s="28">
        <f>IFERROR(N95/'Proyección de ventas'!N123,0)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U56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8" t="inlineStr">
        <is>
          <t>MODELO DE EGRESOS</t>
        </is>
      </c>
    </row>
    <row r="3">
      <c r="B3" s="3" t="inlineStr">
        <is>
          <t>Consolidado de las tres estructuras de costo. Cada una se carga en su propia hoja y acá sólo se suman.</t>
        </is>
      </c>
      <c r="Q3" s="5" t="inlineStr">
        <is>
          <t>Resumen anual</t>
        </is>
      </c>
    </row>
    <row r="4">
      <c r="Q4" s="3" t="inlineStr">
        <is>
          <t>Los totales de cada año, que son los que alimentan el gráfico.</t>
        </is>
      </c>
    </row>
    <row r="5">
      <c r="Q5" s="20" t="inlineStr">
        <is>
          <t>Concepto</t>
        </is>
      </c>
      <c r="R5" s="11" t="n">
        <v>2027</v>
      </c>
      <c r="S5" s="11" t="n">
        <v>2028</v>
      </c>
      <c r="T5" s="11" t="n">
        <v>2029</v>
      </c>
      <c r="U5" s="11" t="n">
        <v>2030</v>
      </c>
    </row>
    <row r="6">
      <c r="Q6" s="13" t="inlineStr">
        <is>
          <t>Costos fijos</t>
        </is>
      </c>
      <c r="R6" s="28">
        <f>O10</f>
        <v/>
      </c>
      <c r="S6" s="28">
        <f>O23</f>
        <v/>
      </c>
      <c r="T6" s="28">
        <f>O36</f>
        <v/>
      </c>
      <c r="U6" s="28">
        <f>O49</f>
        <v/>
      </c>
    </row>
    <row r="7">
      <c r="C7" s="5" t="n">
        <v>2027</v>
      </c>
      <c r="Q7" s="13" t="inlineStr">
        <is>
          <t>Costos variables</t>
        </is>
      </c>
      <c r="R7" s="28">
        <f>O11</f>
        <v/>
      </c>
      <c r="S7" s="28">
        <f>O24</f>
        <v/>
      </c>
      <c r="T7" s="28">
        <f>O37</f>
        <v/>
      </c>
      <c r="U7" s="28">
        <f>O50</f>
        <v/>
      </c>
    </row>
    <row r="8">
      <c r="C8" s="26" t="inlineStr">
        <is>
          <t>Ene</t>
        </is>
      </c>
      <c r="D8" s="26" t="inlineStr">
        <is>
          <t>Feb</t>
        </is>
      </c>
      <c r="E8" s="26" t="inlineStr">
        <is>
          <t>Mar</t>
        </is>
      </c>
      <c r="F8" s="26" t="inlineStr">
        <is>
          <t>Abr</t>
        </is>
      </c>
      <c r="G8" s="26" t="inlineStr">
        <is>
          <t>May</t>
        </is>
      </c>
      <c r="H8" s="26" t="inlineStr">
        <is>
          <t>Jun</t>
        </is>
      </c>
      <c r="I8" s="26" t="inlineStr">
        <is>
          <t>Jul</t>
        </is>
      </c>
      <c r="J8" s="26" t="inlineStr">
        <is>
          <t>Ago</t>
        </is>
      </c>
      <c r="K8" s="26" t="inlineStr">
        <is>
          <t>Sep</t>
        </is>
      </c>
      <c r="L8" s="26" t="inlineStr">
        <is>
          <t>Oct</t>
        </is>
      </c>
      <c r="M8" s="26" t="inlineStr">
        <is>
          <t>Nov</t>
        </is>
      </c>
      <c r="N8" s="26" t="inlineStr">
        <is>
          <t>Dic</t>
        </is>
      </c>
      <c r="O8" s="27" t="inlineStr">
        <is>
          <t>Total 2027</t>
        </is>
      </c>
      <c r="Q8" s="13" t="inlineStr">
        <is>
          <t>Costos de RRHH</t>
        </is>
      </c>
      <c r="R8" s="28">
        <f>O12</f>
        <v/>
      </c>
      <c r="S8" s="28">
        <f>O25</f>
        <v/>
      </c>
      <c r="T8" s="28">
        <f>O38</f>
        <v/>
      </c>
      <c r="U8" s="28">
        <f>O51</f>
        <v/>
      </c>
    </row>
    <row r="9"/>
    <row r="10">
      <c r="A10" s="20" t="inlineStr">
        <is>
          <t>EGRESOS</t>
        </is>
      </c>
      <c r="B10" s="13" t="inlineStr">
        <is>
          <t>Costos fijos</t>
        </is>
      </c>
      <c r="C10" s="28">
        <f>'Costos Fijos'!C32</f>
        <v/>
      </c>
      <c r="D10" s="28">
        <f>'Costos Fijos'!D32</f>
        <v/>
      </c>
      <c r="E10" s="28">
        <f>'Costos Fijos'!E32</f>
        <v/>
      </c>
      <c r="F10" s="28">
        <f>'Costos Fijos'!F32</f>
        <v/>
      </c>
      <c r="G10" s="28">
        <f>'Costos Fijos'!G32</f>
        <v/>
      </c>
      <c r="H10" s="28">
        <f>'Costos Fijos'!H32</f>
        <v/>
      </c>
      <c r="I10" s="28">
        <f>'Costos Fijos'!I32</f>
        <v/>
      </c>
      <c r="J10" s="28">
        <f>'Costos Fijos'!J32</f>
        <v/>
      </c>
      <c r="K10" s="28">
        <f>'Costos Fijos'!K32</f>
        <v/>
      </c>
      <c r="L10" s="28">
        <f>'Costos Fijos'!L32</f>
        <v/>
      </c>
      <c r="M10" s="28">
        <f>'Costos Fijos'!M32</f>
        <v/>
      </c>
      <c r="N10" s="28">
        <f>'Costos Fijos'!N32</f>
        <v/>
      </c>
      <c r="O10" s="29">
        <f>SUM(C10:N10)</f>
        <v/>
      </c>
    </row>
    <row r="11">
      <c r="B11" s="13" t="inlineStr">
        <is>
          <t>Costos variables</t>
        </is>
      </c>
      <c r="C11" s="28">
        <f>'Costos Variables'!C14</f>
        <v/>
      </c>
      <c r="D11" s="28">
        <f>'Costos Variables'!D14</f>
        <v/>
      </c>
      <c r="E11" s="28">
        <f>'Costos Variables'!E14</f>
        <v/>
      </c>
      <c r="F11" s="28">
        <f>'Costos Variables'!F14</f>
        <v/>
      </c>
      <c r="G11" s="28">
        <f>'Costos Variables'!G14</f>
        <v/>
      </c>
      <c r="H11" s="28">
        <f>'Costos Variables'!H14</f>
        <v/>
      </c>
      <c r="I11" s="28">
        <f>'Costos Variables'!I14</f>
        <v/>
      </c>
      <c r="J11" s="28">
        <f>'Costos Variables'!J14</f>
        <v/>
      </c>
      <c r="K11" s="28">
        <f>'Costos Variables'!K14</f>
        <v/>
      </c>
      <c r="L11" s="28">
        <f>'Costos Variables'!L14</f>
        <v/>
      </c>
      <c r="M11" s="28">
        <f>'Costos Variables'!M14</f>
        <v/>
      </c>
      <c r="N11" s="28">
        <f>'Costos Variables'!N14</f>
        <v/>
      </c>
      <c r="O11" s="29">
        <f>SUM(C11:N11)</f>
        <v/>
      </c>
    </row>
    <row r="12">
      <c r="B12" s="13" t="inlineStr">
        <is>
          <t>Costos de RRHH</t>
        </is>
      </c>
      <c r="C12" s="28">
        <f>'RRHH'!C48</f>
        <v/>
      </c>
      <c r="D12" s="28">
        <f>'RRHH'!D48</f>
        <v/>
      </c>
      <c r="E12" s="28">
        <f>'RRHH'!E48</f>
        <v/>
      </c>
      <c r="F12" s="28">
        <f>'RRHH'!F48</f>
        <v/>
      </c>
      <c r="G12" s="28">
        <f>'RRHH'!G48</f>
        <v/>
      </c>
      <c r="H12" s="28">
        <f>'RRHH'!H48</f>
        <v/>
      </c>
      <c r="I12" s="28">
        <f>'RRHH'!I48</f>
        <v/>
      </c>
      <c r="J12" s="28">
        <f>'RRHH'!J48</f>
        <v/>
      </c>
      <c r="K12" s="28">
        <f>'RRHH'!K48</f>
        <v/>
      </c>
      <c r="L12" s="28">
        <f>'RRHH'!L48</f>
        <v/>
      </c>
      <c r="M12" s="28">
        <f>'RRHH'!M48</f>
        <v/>
      </c>
      <c r="N12" s="28">
        <f>'RRHH'!N48</f>
        <v/>
      </c>
      <c r="O12" s="29">
        <f>SUM(C12:N12)</f>
        <v/>
      </c>
    </row>
    <row r="13">
      <c r="B13" s="20" t="inlineStr">
        <is>
          <t>Total de egresos</t>
        </is>
      </c>
      <c r="C13" s="18">
        <f>SUM(C10:C12)</f>
        <v/>
      </c>
      <c r="D13" s="18">
        <f>SUM(D10:D12)</f>
        <v/>
      </c>
      <c r="E13" s="18">
        <f>SUM(E10:E12)</f>
        <v/>
      </c>
      <c r="F13" s="18">
        <f>SUM(F10:F12)</f>
        <v/>
      </c>
      <c r="G13" s="18">
        <f>SUM(G10:G12)</f>
        <v/>
      </c>
      <c r="H13" s="18">
        <f>SUM(H10:H12)</f>
        <v/>
      </c>
      <c r="I13" s="18">
        <f>SUM(I10:I12)</f>
        <v/>
      </c>
      <c r="J13" s="18">
        <f>SUM(J10:J12)</f>
        <v/>
      </c>
      <c r="K13" s="18">
        <f>SUM(K10:K12)</f>
        <v/>
      </c>
      <c r="L13" s="18">
        <f>SUM(L10:L12)</f>
        <v/>
      </c>
      <c r="M13" s="18">
        <f>SUM(M10:M12)</f>
        <v/>
      </c>
      <c r="N13" s="18">
        <f>SUM(N10:N12)</f>
        <v/>
      </c>
      <c r="O13" s="29">
        <f>SUM(C13:N13)</f>
        <v/>
      </c>
    </row>
    <row r="14"/>
    <row r="15">
      <c r="B15" s="9" t="inlineStr">
        <is>
          <t>Margen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20" t="inlineStr">
        <is>
          <t>MARGEN</t>
        </is>
      </c>
      <c r="B16" s="20" t="inlineStr">
        <is>
          <t>Resultado operativo (ingresos − egresos)</t>
        </is>
      </c>
      <c r="C16" s="18">
        <f>'Modelo de ingresos'!C26-C13</f>
        <v/>
      </c>
      <c r="D16" s="18">
        <f>'Modelo de ingresos'!D26-D13</f>
        <v/>
      </c>
      <c r="E16" s="18">
        <f>'Modelo de ingresos'!E26-E13</f>
        <v/>
      </c>
      <c r="F16" s="18">
        <f>'Modelo de ingresos'!F26-F13</f>
        <v/>
      </c>
      <c r="G16" s="18">
        <f>'Modelo de ingresos'!G26-G13</f>
        <v/>
      </c>
      <c r="H16" s="18">
        <f>'Modelo de ingresos'!H26-H13</f>
        <v/>
      </c>
      <c r="I16" s="18">
        <f>'Modelo de ingresos'!I26-I13</f>
        <v/>
      </c>
      <c r="J16" s="18">
        <f>'Modelo de ingresos'!J26-J13</f>
        <v/>
      </c>
      <c r="K16" s="18">
        <f>'Modelo de ingresos'!K26-K13</f>
        <v/>
      </c>
      <c r="L16" s="18">
        <f>'Modelo de ingresos'!L26-L13</f>
        <v/>
      </c>
      <c r="M16" s="18">
        <f>'Modelo de ingresos'!M26-M13</f>
        <v/>
      </c>
      <c r="N16" s="18">
        <f>'Modelo de ingresos'!N26-N13</f>
        <v/>
      </c>
      <c r="O16" s="29">
        <f>SUM(C16:N16)</f>
        <v/>
      </c>
    </row>
    <row r="17">
      <c r="B17" s="13" t="inlineStr">
        <is>
          <t xml:space="preserve">    Margen sobre ingresos</t>
        </is>
      </c>
      <c r="C17" s="16">
        <f>IFERROR(C16/'Modelo de ingresos'!C26,0)</f>
        <v/>
      </c>
      <c r="D17" s="16">
        <f>IFERROR(D16/'Modelo de ingresos'!D26,0)</f>
        <v/>
      </c>
      <c r="E17" s="16">
        <f>IFERROR(E16/'Modelo de ingresos'!E26,0)</f>
        <v/>
      </c>
      <c r="F17" s="16">
        <f>IFERROR(F16/'Modelo de ingresos'!F26,0)</f>
        <v/>
      </c>
      <c r="G17" s="16">
        <f>IFERROR(G16/'Modelo de ingresos'!G26,0)</f>
        <v/>
      </c>
      <c r="H17" s="16">
        <f>IFERROR(H16/'Modelo de ingresos'!H26,0)</f>
        <v/>
      </c>
      <c r="I17" s="16">
        <f>IFERROR(I16/'Modelo de ingresos'!I26,0)</f>
        <v/>
      </c>
      <c r="J17" s="16">
        <f>IFERROR(J16/'Modelo de ingresos'!J26,0)</f>
        <v/>
      </c>
      <c r="K17" s="16">
        <f>IFERROR(K16/'Modelo de ingresos'!K26,0)</f>
        <v/>
      </c>
      <c r="L17" s="16">
        <f>IFERROR(L16/'Modelo de ingresos'!L26,0)</f>
        <v/>
      </c>
      <c r="M17" s="16">
        <f>IFERROR(M16/'Modelo de ingresos'!M26,0)</f>
        <v/>
      </c>
      <c r="N17" s="16">
        <f>IFERROR(N16/'Modelo de ingresos'!N26,0)</f>
        <v/>
      </c>
    </row>
    <row r="18"/>
    <row r="19"/>
    <row r="20">
      <c r="C20" s="5" t="n">
        <v>2028</v>
      </c>
    </row>
    <row r="21">
      <c r="C21" s="26" t="inlineStr">
        <is>
          <t>Ene</t>
        </is>
      </c>
      <c r="D21" s="26" t="inlineStr">
        <is>
          <t>Feb</t>
        </is>
      </c>
      <c r="E21" s="26" t="inlineStr">
        <is>
          <t>Mar</t>
        </is>
      </c>
      <c r="F21" s="26" t="inlineStr">
        <is>
          <t>Abr</t>
        </is>
      </c>
      <c r="G21" s="26" t="inlineStr">
        <is>
          <t>May</t>
        </is>
      </c>
      <c r="H21" s="26" t="inlineStr">
        <is>
          <t>Jun</t>
        </is>
      </c>
      <c r="I21" s="26" t="inlineStr">
        <is>
          <t>Jul</t>
        </is>
      </c>
      <c r="J21" s="26" t="inlineStr">
        <is>
          <t>Ago</t>
        </is>
      </c>
      <c r="K21" s="26" t="inlineStr">
        <is>
          <t>Sep</t>
        </is>
      </c>
      <c r="L21" s="26" t="inlineStr">
        <is>
          <t>Oct</t>
        </is>
      </c>
      <c r="M21" s="26" t="inlineStr">
        <is>
          <t>Nov</t>
        </is>
      </c>
      <c r="N21" s="26" t="inlineStr">
        <is>
          <t>Dic</t>
        </is>
      </c>
      <c r="O21" s="27" t="inlineStr">
        <is>
          <t>Total 2028</t>
        </is>
      </c>
    </row>
    <row r="22"/>
    <row r="23">
      <c r="A23" s="20" t="inlineStr">
        <is>
          <t>EGRESOS</t>
        </is>
      </c>
      <c r="B23" s="13" t="inlineStr">
        <is>
          <t>Costos fijos</t>
        </is>
      </c>
      <c r="C23" s="28">
        <f>'Costos Fijos'!C60</f>
        <v/>
      </c>
      <c r="D23" s="28">
        <f>'Costos Fijos'!D60</f>
        <v/>
      </c>
      <c r="E23" s="28">
        <f>'Costos Fijos'!E60</f>
        <v/>
      </c>
      <c r="F23" s="28">
        <f>'Costos Fijos'!F60</f>
        <v/>
      </c>
      <c r="G23" s="28">
        <f>'Costos Fijos'!G60</f>
        <v/>
      </c>
      <c r="H23" s="28">
        <f>'Costos Fijos'!H60</f>
        <v/>
      </c>
      <c r="I23" s="28">
        <f>'Costos Fijos'!I60</f>
        <v/>
      </c>
      <c r="J23" s="28">
        <f>'Costos Fijos'!J60</f>
        <v/>
      </c>
      <c r="K23" s="28">
        <f>'Costos Fijos'!K60</f>
        <v/>
      </c>
      <c r="L23" s="28">
        <f>'Costos Fijos'!L60</f>
        <v/>
      </c>
      <c r="M23" s="28">
        <f>'Costos Fijos'!M60</f>
        <v/>
      </c>
      <c r="N23" s="28">
        <f>'Costos Fijos'!N60</f>
        <v/>
      </c>
      <c r="O23" s="29">
        <f>SUM(C23:N23)</f>
        <v/>
      </c>
    </row>
    <row r="24">
      <c r="B24" s="13" t="inlineStr">
        <is>
          <t>Costos variables</t>
        </is>
      </c>
      <c r="C24" s="28">
        <f>'Costos Variables'!C24</f>
        <v/>
      </c>
      <c r="D24" s="28">
        <f>'Costos Variables'!D24</f>
        <v/>
      </c>
      <c r="E24" s="28">
        <f>'Costos Variables'!E24</f>
        <v/>
      </c>
      <c r="F24" s="28">
        <f>'Costos Variables'!F24</f>
        <v/>
      </c>
      <c r="G24" s="28">
        <f>'Costos Variables'!G24</f>
        <v/>
      </c>
      <c r="H24" s="28">
        <f>'Costos Variables'!H24</f>
        <v/>
      </c>
      <c r="I24" s="28">
        <f>'Costos Variables'!I24</f>
        <v/>
      </c>
      <c r="J24" s="28">
        <f>'Costos Variables'!J24</f>
        <v/>
      </c>
      <c r="K24" s="28">
        <f>'Costos Variables'!K24</f>
        <v/>
      </c>
      <c r="L24" s="28">
        <f>'Costos Variables'!L24</f>
        <v/>
      </c>
      <c r="M24" s="28">
        <f>'Costos Variables'!M24</f>
        <v/>
      </c>
      <c r="N24" s="28">
        <f>'Costos Variables'!N24</f>
        <v/>
      </c>
      <c r="O24" s="29">
        <f>SUM(C24:N24)</f>
        <v/>
      </c>
    </row>
    <row r="25">
      <c r="B25" s="13" t="inlineStr">
        <is>
          <t>Costos de RRHH</t>
        </is>
      </c>
      <c r="C25" s="28">
        <f>'RRHH'!C63</f>
        <v/>
      </c>
      <c r="D25" s="28">
        <f>'RRHH'!D63</f>
        <v/>
      </c>
      <c r="E25" s="28">
        <f>'RRHH'!E63</f>
        <v/>
      </c>
      <c r="F25" s="28">
        <f>'RRHH'!F63</f>
        <v/>
      </c>
      <c r="G25" s="28">
        <f>'RRHH'!G63</f>
        <v/>
      </c>
      <c r="H25" s="28">
        <f>'RRHH'!H63</f>
        <v/>
      </c>
      <c r="I25" s="28">
        <f>'RRHH'!I63</f>
        <v/>
      </c>
      <c r="J25" s="28">
        <f>'RRHH'!J63</f>
        <v/>
      </c>
      <c r="K25" s="28">
        <f>'RRHH'!K63</f>
        <v/>
      </c>
      <c r="L25" s="28">
        <f>'RRHH'!L63</f>
        <v/>
      </c>
      <c r="M25" s="28">
        <f>'RRHH'!M63</f>
        <v/>
      </c>
      <c r="N25" s="28">
        <f>'RRHH'!N63</f>
        <v/>
      </c>
      <c r="O25" s="29">
        <f>SUM(C25:N25)</f>
        <v/>
      </c>
    </row>
    <row r="26">
      <c r="B26" s="20" t="inlineStr">
        <is>
          <t>Total de egresos</t>
        </is>
      </c>
      <c r="C26" s="18">
        <f>SUM(C23:C25)</f>
        <v/>
      </c>
      <c r="D26" s="18">
        <f>SUM(D23:D25)</f>
        <v/>
      </c>
      <c r="E26" s="18">
        <f>SUM(E23:E25)</f>
        <v/>
      </c>
      <c r="F26" s="18">
        <f>SUM(F23:F25)</f>
        <v/>
      </c>
      <c r="G26" s="18">
        <f>SUM(G23:G25)</f>
        <v/>
      </c>
      <c r="H26" s="18">
        <f>SUM(H23:H25)</f>
        <v/>
      </c>
      <c r="I26" s="18">
        <f>SUM(I23:I25)</f>
        <v/>
      </c>
      <c r="J26" s="18">
        <f>SUM(J23:J25)</f>
        <v/>
      </c>
      <c r="K26" s="18">
        <f>SUM(K23:K25)</f>
        <v/>
      </c>
      <c r="L26" s="18">
        <f>SUM(L23:L25)</f>
        <v/>
      </c>
      <c r="M26" s="18">
        <f>SUM(M23:M25)</f>
        <v/>
      </c>
      <c r="N26" s="18">
        <f>SUM(N23:N25)</f>
        <v/>
      </c>
      <c r="O26" s="29">
        <f>SUM(C26:N26)</f>
        <v/>
      </c>
    </row>
    <row r="27"/>
    <row r="28">
      <c r="B28" s="9" t="inlineStr">
        <is>
          <t>Margen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20" t="inlineStr">
        <is>
          <t>MARGEN</t>
        </is>
      </c>
      <c r="B29" s="20" t="inlineStr">
        <is>
          <t>Resultado operativo (ingresos − egresos)</t>
        </is>
      </c>
      <c r="C29" s="18">
        <f>'Modelo de ingresos'!C49-C26</f>
        <v/>
      </c>
      <c r="D29" s="18">
        <f>'Modelo de ingresos'!D49-D26</f>
        <v/>
      </c>
      <c r="E29" s="18">
        <f>'Modelo de ingresos'!E49-E26</f>
        <v/>
      </c>
      <c r="F29" s="18">
        <f>'Modelo de ingresos'!F49-F26</f>
        <v/>
      </c>
      <c r="G29" s="18">
        <f>'Modelo de ingresos'!G49-G26</f>
        <v/>
      </c>
      <c r="H29" s="18">
        <f>'Modelo de ingresos'!H49-H26</f>
        <v/>
      </c>
      <c r="I29" s="18">
        <f>'Modelo de ingresos'!I49-I26</f>
        <v/>
      </c>
      <c r="J29" s="18">
        <f>'Modelo de ingresos'!J49-J26</f>
        <v/>
      </c>
      <c r="K29" s="18">
        <f>'Modelo de ingresos'!K49-K26</f>
        <v/>
      </c>
      <c r="L29" s="18">
        <f>'Modelo de ingresos'!L49-L26</f>
        <v/>
      </c>
      <c r="M29" s="18">
        <f>'Modelo de ingresos'!M49-M26</f>
        <v/>
      </c>
      <c r="N29" s="18">
        <f>'Modelo de ingresos'!N49-N26</f>
        <v/>
      </c>
      <c r="O29" s="29">
        <f>SUM(C29:N29)</f>
        <v/>
      </c>
    </row>
    <row r="30">
      <c r="B30" s="13" t="inlineStr">
        <is>
          <t xml:space="preserve">    Margen sobre ingresos</t>
        </is>
      </c>
      <c r="C30" s="16">
        <f>IFERROR(C29/'Modelo de ingresos'!C49,0)</f>
        <v/>
      </c>
      <c r="D30" s="16">
        <f>IFERROR(D29/'Modelo de ingresos'!D49,0)</f>
        <v/>
      </c>
      <c r="E30" s="16">
        <f>IFERROR(E29/'Modelo de ingresos'!E49,0)</f>
        <v/>
      </c>
      <c r="F30" s="16">
        <f>IFERROR(F29/'Modelo de ingresos'!F49,0)</f>
        <v/>
      </c>
      <c r="G30" s="16">
        <f>IFERROR(G29/'Modelo de ingresos'!G49,0)</f>
        <v/>
      </c>
      <c r="H30" s="16">
        <f>IFERROR(H29/'Modelo de ingresos'!H49,0)</f>
        <v/>
      </c>
      <c r="I30" s="16">
        <f>IFERROR(I29/'Modelo de ingresos'!I49,0)</f>
        <v/>
      </c>
      <c r="J30" s="16">
        <f>IFERROR(J29/'Modelo de ingresos'!J49,0)</f>
        <v/>
      </c>
      <c r="K30" s="16">
        <f>IFERROR(K29/'Modelo de ingresos'!K49,0)</f>
        <v/>
      </c>
      <c r="L30" s="16">
        <f>IFERROR(L29/'Modelo de ingresos'!L49,0)</f>
        <v/>
      </c>
      <c r="M30" s="16">
        <f>IFERROR(M29/'Modelo de ingresos'!M49,0)</f>
        <v/>
      </c>
      <c r="N30" s="16">
        <f>IFERROR(N29/'Modelo de ingresos'!N49,0)</f>
        <v/>
      </c>
    </row>
    <row r="31"/>
    <row r="32"/>
    <row r="33">
      <c r="C33" s="5" t="n">
        <v>2029</v>
      </c>
    </row>
    <row r="34">
      <c r="C34" s="26" t="inlineStr">
        <is>
          <t>Ene</t>
        </is>
      </c>
      <c r="D34" s="26" t="inlineStr">
        <is>
          <t>Feb</t>
        </is>
      </c>
      <c r="E34" s="26" t="inlineStr">
        <is>
          <t>Mar</t>
        </is>
      </c>
      <c r="F34" s="26" t="inlineStr">
        <is>
          <t>Abr</t>
        </is>
      </c>
      <c r="G34" s="26" t="inlineStr">
        <is>
          <t>May</t>
        </is>
      </c>
      <c r="H34" s="26" t="inlineStr">
        <is>
          <t>Jun</t>
        </is>
      </c>
      <c r="I34" s="26" t="inlineStr">
        <is>
          <t>Jul</t>
        </is>
      </c>
      <c r="J34" s="26" t="inlineStr">
        <is>
          <t>Ago</t>
        </is>
      </c>
      <c r="K34" s="26" t="inlineStr">
        <is>
          <t>Sep</t>
        </is>
      </c>
      <c r="L34" s="26" t="inlineStr">
        <is>
          <t>Oct</t>
        </is>
      </c>
      <c r="M34" s="26" t="inlineStr">
        <is>
          <t>Nov</t>
        </is>
      </c>
      <c r="N34" s="26" t="inlineStr">
        <is>
          <t>Dic</t>
        </is>
      </c>
      <c r="O34" s="27" t="inlineStr">
        <is>
          <t>Total 2029</t>
        </is>
      </c>
    </row>
    <row r="35"/>
    <row r="36">
      <c r="A36" s="20" t="inlineStr">
        <is>
          <t>EGRESOS</t>
        </is>
      </c>
      <c r="B36" s="13" t="inlineStr">
        <is>
          <t>Costos fijos</t>
        </is>
      </c>
      <c r="C36" s="28">
        <f>'Costos Fijos'!C88</f>
        <v/>
      </c>
      <c r="D36" s="28">
        <f>'Costos Fijos'!D88</f>
        <v/>
      </c>
      <c r="E36" s="28">
        <f>'Costos Fijos'!E88</f>
        <v/>
      </c>
      <c r="F36" s="28">
        <f>'Costos Fijos'!F88</f>
        <v/>
      </c>
      <c r="G36" s="28">
        <f>'Costos Fijos'!G88</f>
        <v/>
      </c>
      <c r="H36" s="28">
        <f>'Costos Fijos'!H88</f>
        <v/>
      </c>
      <c r="I36" s="28">
        <f>'Costos Fijos'!I88</f>
        <v/>
      </c>
      <c r="J36" s="28">
        <f>'Costos Fijos'!J88</f>
        <v/>
      </c>
      <c r="K36" s="28">
        <f>'Costos Fijos'!K88</f>
        <v/>
      </c>
      <c r="L36" s="28">
        <f>'Costos Fijos'!L88</f>
        <v/>
      </c>
      <c r="M36" s="28">
        <f>'Costos Fijos'!M88</f>
        <v/>
      </c>
      <c r="N36" s="28">
        <f>'Costos Fijos'!N88</f>
        <v/>
      </c>
      <c r="O36" s="29">
        <f>SUM(C36:N36)</f>
        <v/>
      </c>
    </row>
    <row r="37">
      <c r="B37" s="13" t="inlineStr">
        <is>
          <t>Costos variables</t>
        </is>
      </c>
      <c r="C37" s="28">
        <f>'Costos Variables'!C34</f>
        <v/>
      </c>
      <c r="D37" s="28">
        <f>'Costos Variables'!D34</f>
        <v/>
      </c>
      <c r="E37" s="28">
        <f>'Costos Variables'!E34</f>
        <v/>
      </c>
      <c r="F37" s="28">
        <f>'Costos Variables'!F34</f>
        <v/>
      </c>
      <c r="G37" s="28">
        <f>'Costos Variables'!G34</f>
        <v/>
      </c>
      <c r="H37" s="28">
        <f>'Costos Variables'!H34</f>
        <v/>
      </c>
      <c r="I37" s="28">
        <f>'Costos Variables'!I34</f>
        <v/>
      </c>
      <c r="J37" s="28">
        <f>'Costos Variables'!J34</f>
        <v/>
      </c>
      <c r="K37" s="28">
        <f>'Costos Variables'!K34</f>
        <v/>
      </c>
      <c r="L37" s="28">
        <f>'Costos Variables'!L34</f>
        <v/>
      </c>
      <c r="M37" s="28">
        <f>'Costos Variables'!M34</f>
        <v/>
      </c>
      <c r="N37" s="28">
        <f>'Costos Variables'!N34</f>
        <v/>
      </c>
      <c r="O37" s="29">
        <f>SUM(C37:N37)</f>
        <v/>
      </c>
    </row>
    <row r="38">
      <c r="B38" s="13" t="inlineStr">
        <is>
          <t>Costos de RRHH</t>
        </is>
      </c>
      <c r="C38" s="28">
        <f>'RRHH'!C78</f>
        <v/>
      </c>
      <c r="D38" s="28">
        <f>'RRHH'!D78</f>
        <v/>
      </c>
      <c r="E38" s="28">
        <f>'RRHH'!E78</f>
        <v/>
      </c>
      <c r="F38" s="28">
        <f>'RRHH'!F78</f>
        <v/>
      </c>
      <c r="G38" s="28">
        <f>'RRHH'!G78</f>
        <v/>
      </c>
      <c r="H38" s="28">
        <f>'RRHH'!H78</f>
        <v/>
      </c>
      <c r="I38" s="28">
        <f>'RRHH'!I78</f>
        <v/>
      </c>
      <c r="J38" s="28">
        <f>'RRHH'!J78</f>
        <v/>
      </c>
      <c r="K38" s="28">
        <f>'RRHH'!K78</f>
        <v/>
      </c>
      <c r="L38" s="28">
        <f>'RRHH'!L78</f>
        <v/>
      </c>
      <c r="M38" s="28">
        <f>'RRHH'!M78</f>
        <v/>
      </c>
      <c r="N38" s="28">
        <f>'RRHH'!N78</f>
        <v/>
      </c>
      <c r="O38" s="29">
        <f>SUM(C38:N38)</f>
        <v/>
      </c>
    </row>
    <row r="39">
      <c r="B39" s="20" t="inlineStr">
        <is>
          <t>Total de egresos</t>
        </is>
      </c>
      <c r="C39" s="18">
        <f>SUM(C36:C38)</f>
        <v/>
      </c>
      <c r="D39" s="18">
        <f>SUM(D36:D38)</f>
        <v/>
      </c>
      <c r="E39" s="18">
        <f>SUM(E36:E38)</f>
        <v/>
      </c>
      <c r="F39" s="18">
        <f>SUM(F36:F38)</f>
        <v/>
      </c>
      <c r="G39" s="18">
        <f>SUM(G36:G38)</f>
        <v/>
      </c>
      <c r="H39" s="18">
        <f>SUM(H36:H38)</f>
        <v/>
      </c>
      <c r="I39" s="18">
        <f>SUM(I36:I38)</f>
        <v/>
      </c>
      <c r="J39" s="18">
        <f>SUM(J36:J38)</f>
        <v/>
      </c>
      <c r="K39" s="18">
        <f>SUM(K36:K38)</f>
        <v/>
      </c>
      <c r="L39" s="18">
        <f>SUM(L36:L38)</f>
        <v/>
      </c>
      <c r="M39" s="18">
        <f>SUM(M36:M38)</f>
        <v/>
      </c>
      <c r="N39" s="18">
        <f>SUM(N36:N38)</f>
        <v/>
      </c>
      <c r="O39" s="29">
        <f>SUM(C39:N39)</f>
        <v/>
      </c>
    </row>
    <row r="40"/>
    <row r="41">
      <c r="B41" s="9" t="inlineStr">
        <is>
          <t>Margen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20" t="inlineStr">
        <is>
          <t>MARGEN</t>
        </is>
      </c>
      <c r="B42" s="20" t="inlineStr">
        <is>
          <t>Resultado operativo (ingresos − egresos)</t>
        </is>
      </c>
      <c r="C42" s="18">
        <f>'Modelo de ingresos'!C72-C39</f>
        <v/>
      </c>
      <c r="D42" s="18">
        <f>'Modelo de ingresos'!D72-D39</f>
        <v/>
      </c>
      <c r="E42" s="18">
        <f>'Modelo de ingresos'!E72-E39</f>
        <v/>
      </c>
      <c r="F42" s="18">
        <f>'Modelo de ingresos'!F72-F39</f>
        <v/>
      </c>
      <c r="G42" s="18">
        <f>'Modelo de ingresos'!G72-G39</f>
        <v/>
      </c>
      <c r="H42" s="18">
        <f>'Modelo de ingresos'!H72-H39</f>
        <v/>
      </c>
      <c r="I42" s="18">
        <f>'Modelo de ingresos'!I72-I39</f>
        <v/>
      </c>
      <c r="J42" s="18">
        <f>'Modelo de ingresos'!J72-J39</f>
        <v/>
      </c>
      <c r="K42" s="18">
        <f>'Modelo de ingresos'!K72-K39</f>
        <v/>
      </c>
      <c r="L42" s="18">
        <f>'Modelo de ingresos'!L72-L39</f>
        <v/>
      </c>
      <c r="M42" s="18">
        <f>'Modelo de ingresos'!M72-M39</f>
        <v/>
      </c>
      <c r="N42" s="18">
        <f>'Modelo de ingresos'!N72-N39</f>
        <v/>
      </c>
      <c r="O42" s="29">
        <f>SUM(C42:N42)</f>
        <v/>
      </c>
    </row>
    <row r="43">
      <c r="B43" s="13" t="inlineStr">
        <is>
          <t xml:space="preserve">    Margen sobre ingresos</t>
        </is>
      </c>
      <c r="C43" s="16">
        <f>IFERROR(C42/'Modelo de ingresos'!C72,0)</f>
        <v/>
      </c>
      <c r="D43" s="16">
        <f>IFERROR(D42/'Modelo de ingresos'!D72,0)</f>
        <v/>
      </c>
      <c r="E43" s="16">
        <f>IFERROR(E42/'Modelo de ingresos'!E72,0)</f>
        <v/>
      </c>
      <c r="F43" s="16">
        <f>IFERROR(F42/'Modelo de ingresos'!F72,0)</f>
        <v/>
      </c>
      <c r="G43" s="16">
        <f>IFERROR(G42/'Modelo de ingresos'!G72,0)</f>
        <v/>
      </c>
      <c r="H43" s="16">
        <f>IFERROR(H42/'Modelo de ingresos'!H72,0)</f>
        <v/>
      </c>
      <c r="I43" s="16">
        <f>IFERROR(I42/'Modelo de ingresos'!I72,0)</f>
        <v/>
      </c>
      <c r="J43" s="16">
        <f>IFERROR(J42/'Modelo de ingresos'!J72,0)</f>
        <v/>
      </c>
      <c r="K43" s="16">
        <f>IFERROR(K42/'Modelo de ingresos'!K72,0)</f>
        <v/>
      </c>
      <c r="L43" s="16">
        <f>IFERROR(L42/'Modelo de ingresos'!L72,0)</f>
        <v/>
      </c>
      <c r="M43" s="16">
        <f>IFERROR(M42/'Modelo de ingresos'!M72,0)</f>
        <v/>
      </c>
      <c r="N43" s="16">
        <f>IFERROR(N42/'Modelo de ingresos'!N72,0)</f>
        <v/>
      </c>
    </row>
    <row r="44"/>
    <row r="45"/>
    <row r="46">
      <c r="C46" s="5" t="n">
        <v>2030</v>
      </c>
    </row>
    <row r="47">
      <c r="C47" s="26" t="inlineStr">
        <is>
          <t>Ene</t>
        </is>
      </c>
      <c r="D47" s="26" t="inlineStr">
        <is>
          <t>Feb</t>
        </is>
      </c>
      <c r="E47" s="26" t="inlineStr">
        <is>
          <t>Mar</t>
        </is>
      </c>
      <c r="F47" s="26" t="inlineStr">
        <is>
          <t>Abr</t>
        </is>
      </c>
      <c r="G47" s="26" t="inlineStr">
        <is>
          <t>May</t>
        </is>
      </c>
      <c r="H47" s="26" t="inlineStr">
        <is>
          <t>Jun</t>
        </is>
      </c>
      <c r="I47" s="26" t="inlineStr">
        <is>
          <t>Jul</t>
        </is>
      </c>
      <c r="J47" s="26" t="inlineStr">
        <is>
          <t>Ago</t>
        </is>
      </c>
      <c r="K47" s="26" t="inlineStr">
        <is>
          <t>Sep</t>
        </is>
      </c>
      <c r="L47" s="26" t="inlineStr">
        <is>
          <t>Oct</t>
        </is>
      </c>
      <c r="M47" s="26" t="inlineStr">
        <is>
          <t>Nov</t>
        </is>
      </c>
      <c r="N47" s="26" t="inlineStr">
        <is>
          <t>Dic</t>
        </is>
      </c>
      <c r="O47" s="27" t="inlineStr">
        <is>
          <t>Total 2030</t>
        </is>
      </c>
    </row>
    <row r="48"/>
    <row r="49">
      <c r="A49" s="20" t="inlineStr">
        <is>
          <t>EGRESOS</t>
        </is>
      </c>
      <c r="B49" s="13" t="inlineStr">
        <is>
          <t>Costos fijos</t>
        </is>
      </c>
      <c r="C49" s="28">
        <f>'Costos Fijos'!C116</f>
        <v/>
      </c>
      <c r="D49" s="28">
        <f>'Costos Fijos'!D116</f>
        <v/>
      </c>
      <c r="E49" s="28">
        <f>'Costos Fijos'!E116</f>
        <v/>
      </c>
      <c r="F49" s="28">
        <f>'Costos Fijos'!F116</f>
        <v/>
      </c>
      <c r="G49" s="28">
        <f>'Costos Fijos'!G116</f>
        <v/>
      </c>
      <c r="H49" s="28">
        <f>'Costos Fijos'!H116</f>
        <v/>
      </c>
      <c r="I49" s="28">
        <f>'Costos Fijos'!I116</f>
        <v/>
      </c>
      <c r="J49" s="28">
        <f>'Costos Fijos'!J116</f>
        <v/>
      </c>
      <c r="K49" s="28">
        <f>'Costos Fijos'!K116</f>
        <v/>
      </c>
      <c r="L49" s="28">
        <f>'Costos Fijos'!L116</f>
        <v/>
      </c>
      <c r="M49" s="28">
        <f>'Costos Fijos'!M116</f>
        <v/>
      </c>
      <c r="N49" s="28">
        <f>'Costos Fijos'!N116</f>
        <v/>
      </c>
      <c r="O49" s="29">
        <f>SUM(C49:N49)</f>
        <v/>
      </c>
    </row>
    <row r="50">
      <c r="B50" s="13" t="inlineStr">
        <is>
          <t>Costos variables</t>
        </is>
      </c>
      <c r="C50" s="28">
        <f>'Costos Variables'!C44</f>
        <v/>
      </c>
      <c r="D50" s="28">
        <f>'Costos Variables'!D44</f>
        <v/>
      </c>
      <c r="E50" s="28">
        <f>'Costos Variables'!E44</f>
        <v/>
      </c>
      <c r="F50" s="28">
        <f>'Costos Variables'!F44</f>
        <v/>
      </c>
      <c r="G50" s="28">
        <f>'Costos Variables'!G44</f>
        <v/>
      </c>
      <c r="H50" s="28">
        <f>'Costos Variables'!H44</f>
        <v/>
      </c>
      <c r="I50" s="28">
        <f>'Costos Variables'!I44</f>
        <v/>
      </c>
      <c r="J50" s="28">
        <f>'Costos Variables'!J44</f>
        <v/>
      </c>
      <c r="K50" s="28">
        <f>'Costos Variables'!K44</f>
        <v/>
      </c>
      <c r="L50" s="28">
        <f>'Costos Variables'!L44</f>
        <v/>
      </c>
      <c r="M50" s="28">
        <f>'Costos Variables'!M44</f>
        <v/>
      </c>
      <c r="N50" s="28">
        <f>'Costos Variables'!N44</f>
        <v/>
      </c>
      <c r="O50" s="29">
        <f>SUM(C50:N50)</f>
        <v/>
      </c>
    </row>
    <row r="51">
      <c r="B51" s="13" t="inlineStr">
        <is>
          <t>Costos de RRHH</t>
        </is>
      </c>
      <c r="C51" s="28">
        <f>'RRHH'!C93</f>
        <v/>
      </c>
      <c r="D51" s="28">
        <f>'RRHH'!D93</f>
        <v/>
      </c>
      <c r="E51" s="28">
        <f>'RRHH'!E93</f>
        <v/>
      </c>
      <c r="F51" s="28">
        <f>'RRHH'!F93</f>
        <v/>
      </c>
      <c r="G51" s="28">
        <f>'RRHH'!G93</f>
        <v/>
      </c>
      <c r="H51" s="28">
        <f>'RRHH'!H93</f>
        <v/>
      </c>
      <c r="I51" s="28">
        <f>'RRHH'!I93</f>
        <v/>
      </c>
      <c r="J51" s="28">
        <f>'RRHH'!J93</f>
        <v/>
      </c>
      <c r="K51" s="28">
        <f>'RRHH'!K93</f>
        <v/>
      </c>
      <c r="L51" s="28">
        <f>'RRHH'!L93</f>
        <v/>
      </c>
      <c r="M51" s="28">
        <f>'RRHH'!M93</f>
        <v/>
      </c>
      <c r="N51" s="28">
        <f>'RRHH'!N93</f>
        <v/>
      </c>
      <c r="O51" s="29">
        <f>SUM(C51:N51)</f>
        <v/>
      </c>
    </row>
    <row r="52">
      <c r="B52" s="20" t="inlineStr">
        <is>
          <t>Total de egresos</t>
        </is>
      </c>
      <c r="C52" s="18">
        <f>SUM(C49:C51)</f>
        <v/>
      </c>
      <c r="D52" s="18">
        <f>SUM(D49:D51)</f>
        <v/>
      </c>
      <c r="E52" s="18">
        <f>SUM(E49:E51)</f>
        <v/>
      </c>
      <c r="F52" s="18">
        <f>SUM(F49:F51)</f>
        <v/>
      </c>
      <c r="G52" s="18">
        <f>SUM(G49:G51)</f>
        <v/>
      </c>
      <c r="H52" s="18">
        <f>SUM(H49:H51)</f>
        <v/>
      </c>
      <c r="I52" s="18">
        <f>SUM(I49:I51)</f>
        <v/>
      </c>
      <c r="J52" s="18">
        <f>SUM(J49:J51)</f>
        <v/>
      </c>
      <c r="K52" s="18">
        <f>SUM(K49:K51)</f>
        <v/>
      </c>
      <c r="L52" s="18">
        <f>SUM(L49:L51)</f>
        <v/>
      </c>
      <c r="M52" s="18">
        <f>SUM(M49:M51)</f>
        <v/>
      </c>
      <c r="N52" s="18">
        <f>SUM(N49:N51)</f>
        <v/>
      </c>
      <c r="O52" s="29">
        <f>SUM(C52:N52)</f>
        <v/>
      </c>
    </row>
    <row r="53"/>
    <row r="54">
      <c r="B54" s="9" t="inlineStr">
        <is>
          <t>Margen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20" t="inlineStr">
        <is>
          <t>MARGEN</t>
        </is>
      </c>
      <c r="B55" s="20" t="inlineStr">
        <is>
          <t>Resultado operativo (ingresos − egresos)</t>
        </is>
      </c>
      <c r="C55" s="18">
        <f>'Modelo de ingresos'!C95-C52</f>
        <v/>
      </c>
      <c r="D55" s="18">
        <f>'Modelo de ingresos'!D95-D52</f>
        <v/>
      </c>
      <c r="E55" s="18">
        <f>'Modelo de ingresos'!E95-E52</f>
        <v/>
      </c>
      <c r="F55" s="18">
        <f>'Modelo de ingresos'!F95-F52</f>
        <v/>
      </c>
      <c r="G55" s="18">
        <f>'Modelo de ingresos'!G95-G52</f>
        <v/>
      </c>
      <c r="H55" s="18">
        <f>'Modelo de ingresos'!H95-H52</f>
        <v/>
      </c>
      <c r="I55" s="18">
        <f>'Modelo de ingresos'!I95-I52</f>
        <v/>
      </c>
      <c r="J55" s="18">
        <f>'Modelo de ingresos'!J95-J52</f>
        <v/>
      </c>
      <c r="K55" s="18">
        <f>'Modelo de ingresos'!K95-K52</f>
        <v/>
      </c>
      <c r="L55" s="18">
        <f>'Modelo de ingresos'!L95-L52</f>
        <v/>
      </c>
      <c r="M55" s="18">
        <f>'Modelo de ingresos'!M95-M52</f>
        <v/>
      </c>
      <c r="N55" s="18">
        <f>'Modelo de ingresos'!N95-N52</f>
        <v/>
      </c>
      <c r="O55" s="29">
        <f>SUM(C55:N55)</f>
        <v/>
      </c>
    </row>
    <row r="56">
      <c r="B56" s="13" t="inlineStr">
        <is>
          <t xml:space="preserve">    Margen sobre ingresos</t>
        </is>
      </c>
      <c r="C56" s="16">
        <f>IFERROR(C55/'Modelo de ingresos'!C95,0)</f>
        <v/>
      </c>
      <c r="D56" s="16">
        <f>IFERROR(D55/'Modelo de ingresos'!D95,0)</f>
        <v/>
      </c>
      <c r="E56" s="16">
        <f>IFERROR(E55/'Modelo de ingresos'!E95,0)</f>
        <v/>
      </c>
      <c r="F56" s="16">
        <f>IFERROR(F55/'Modelo de ingresos'!F95,0)</f>
        <v/>
      </c>
      <c r="G56" s="16">
        <f>IFERROR(G55/'Modelo de ingresos'!G95,0)</f>
        <v/>
      </c>
      <c r="H56" s="16">
        <f>IFERROR(H55/'Modelo de ingresos'!H95,0)</f>
        <v/>
      </c>
      <c r="I56" s="16">
        <f>IFERROR(I55/'Modelo de ingresos'!I95,0)</f>
        <v/>
      </c>
      <c r="J56" s="16">
        <f>IFERROR(J55/'Modelo de ingresos'!J95,0)</f>
        <v/>
      </c>
      <c r="K56" s="16">
        <f>IFERROR(K55/'Modelo de ingresos'!K95,0)</f>
        <v/>
      </c>
      <c r="L56" s="16">
        <f>IFERROR(L55/'Modelo de ingresos'!L95,0)</f>
        <v/>
      </c>
      <c r="M56" s="16">
        <f>IFERROR(M55/'Modelo de ingresos'!M95,0)</f>
        <v/>
      </c>
      <c r="N56" s="16">
        <f>IFERROR(N55/'Modelo de ingresos'!N95,0)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U116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8" t="inlineStr">
        <is>
          <t>COSTOS FIJOS</t>
        </is>
      </c>
    </row>
    <row r="3">
      <c r="B3" s="3" t="inlineStr">
        <is>
          <t>No dependen del volumen de clientes. Se carga el importe mensual promedio de cada año y se mantiene plano dentro del año: el salto de un año al siguiente absorbe la inflación y el crecimiento de la estructura, que en estos conceptos no es gradual sino escalonado.</t>
        </is>
      </c>
      <c r="Q3" s="5" t="inlineStr">
        <is>
          <t>Resumen anual</t>
        </is>
      </c>
    </row>
    <row r="4">
      <c r="Q4" s="3" t="inlineStr">
        <is>
          <t>Los totales de cada año, que son los que alimentan el gráfico.</t>
        </is>
      </c>
    </row>
    <row r="5">
      <c r="Q5" s="20" t="inlineStr">
        <is>
          <t>Concepto</t>
        </is>
      </c>
      <c r="R5" s="11" t="n">
        <v>2027</v>
      </c>
      <c r="S5" s="11" t="n">
        <v>2028</v>
      </c>
      <c r="T5" s="11" t="n">
        <v>2029</v>
      </c>
      <c r="U5" s="11" t="n">
        <v>2030</v>
      </c>
    </row>
    <row r="6">
      <c r="Q6" s="13" t="inlineStr">
        <is>
          <t>Total de costos fijos</t>
        </is>
      </c>
      <c r="R6" s="28">
        <f>O32</f>
        <v/>
      </c>
      <c r="S6" s="28">
        <f>O60</f>
        <v/>
      </c>
      <c r="T6" s="28">
        <f>O88</f>
        <v/>
      </c>
      <c r="U6" s="28">
        <f>O116</f>
        <v/>
      </c>
    </row>
    <row r="7">
      <c r="C7" s="5" t="n">
        <v>2027</v>
      </c>
    </row>
    <row r="8">
      <c r="C8" s="26" t="inlineStr">
        <is>
          <t>Ene</t>
        </is>
      </c>
      <c r="D8" s="26" t="inlineStr">
        <is>
          <t>Feb</t>
        </is>
      </c>
      <c r="E8" s="26" t="inlineStr">
        <is>
          <t>Mar</t>
        </is>
      </c>
      <c r="F8" s="26" t="inlineStr">
        <is>
          <t>Abr</t>
        </is>
      </c>
      <c r="G8" s="26" t="inlineStr">
        <is>
          <t>May</t>
        </is>
      </c>
      <c r="H8" s="26" t="inlineStr">
        <is>
          <t>Jun</t>
        </is>
      </c>
      <c r="I8" s="26" t="inlineStr">
        <is>
          <t>Jul</t>
        </is>
      </c>
      <c r="J8" s="26" t="inlineStr">
        <is>
          <t>Ago</t>
        </is>
      </c>
      <c r="K8" s="26" t="inlineStr">
        <is>
          <t>Sep</t>
        </is>
      </c>
      <c r="L8" s="26" t="inlineStr">
        <is>
          <t>Oct</t>
        </is>
      </c>
      <c r="M8" s="26" t="inlineStr">
        <is>
          <t>Nov</t>
        </is>
      </c>
      <c r="N8" s="26" t="inlineStr">
        <is>
          <t>Dic</t>
        </is>
      </c>
      <c r="O8" s="27" t="inlineStr">
        <is>
          <t>Total 2027</t>
        </is>
      </c>
    </row>
    <row r="9"/>
    <row r="10">
      <c r="B10" s="9" t="inlineStr">
        <is>
          <t>Importe mensual por año (celdas de entrada)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C11" s="11" t="n">
        <v>2027</v>
      </c>
      <c r="D11" s="11" t="n">
        <v>2028</v>
      </c>
      <c r="E11" s="11" t="n">
        <v>2029</v>
      </c>
      <c r="F11" s="11" t="n">
        <v>2030</v>
      </c>
      <c r="G11" s="11" t="inlineStr">
        <is>
          <t>CAPEX / OPEX</t>
        </is>
      </c>
      <c r="H11" s="11" t="inlineStr">
        <is>
          <t>Origen</t>
        </is>
      </c>
    </row>
    <row r="12">
      <c r="A12" s="20" t="inlineStr">
        <is>
          <t>Infraestructura</t>
        </is>
      </c>
      <c r="B12" s="13" t="inlineStr">
        <is>
          <t>Infraestructura en la nube (base)</t>
        </is>
      </c>
      <c r="C12" s="15" t="n">
        <v>120000</v>
      </c>
      <c r="D12" s="15" t="n">
        <v>200000</v>
      </c>
      <c r="E12" s="15" t="n">
        <v>320000</v>
      </c>
      <c r="F12" s="15" t="n">
        <v>430000</v>
      </c>
      <c r="G12" s="37" t="inlineStr">
        <is>
          <t>OPEX</t>
        </is>
      </c>
      <c r="H12" s="37" t="inlineStr">
        <is>
          <t>Exterior</t>
        </is>
      </c>
      <c r="J12" s="3" t="inlineStr">
        <is>
          <t>AWS o Azure. La Clase 3 lo clasifica como OPEX: no se activa, se consume</t>
        </is>
      </c>
    </row>
    <row r="13">
      <c r="A13" s="20" t="inlineStr">
        <is>
          <t>Infraestructura</t>
        </is>
      </c>
      <c r="B13" s="13" t="inlineStr">
        <is>
          <t>Herramientas y licencias de desarrollo</t>
        </is>
      </c>
      <c r="C13" s="15" t="n">
        <v>40000</v>
      </c>
      <c r="D13" s="15" t="n">
        <v>60000</v>
      </c>
      <c r="E13" s="15" t="n">
        <v>90000</v>
      </c>
      <c r="F13" s="15" t="n">
        <v>120000</v>
      </c>
      <c r="G13" s="37" t="inlineStr">
        <is>
          <t>OPEX</t>
        </is>
      </c>
      <c r="H13" s="37" t="inlineStr">
        <is>
          <t>Exterior</t>
        </is>
      </c>
      <c r="J13" s="3" t="inlineStr">
        <is>
          <t>GitHub, Jira y similares. SaaS del exterior</t>
        </is>
      </c>
    </row>
    <row r="14">
      <c r="A14" s="20" t="inlineStr">
        <is>
          <t>Infraestructura</t>
        </is>
      </c>
      <c r="B14" s="13" t="inlineStr">
        <is>
          <t>Herramientas de IA del equipo</t>
        </is>
      </c>
      <c r="C14" s="15" t="n">
        <v>90000</v>
      </c>
      <c r="D14" s="15" t="n">
        <v>140000</v>
      </c>
      <c r="E14" s="15" t="n">
        <v>200000</v>
      </c>
      <c r="F14" s="15" t="n">
        <v>260000</v>
      </c>
      <c r="G14" s="37" t="inlineStr">
        <is>
          <t>OPEX</t>
        </is>
      </c>
      <c r="H14" s="37" t="inlineStr">
        <is>
          <t>Exterior</t>
        </is>
      </c>
      <c r="J14" s="3" t="inlineStr">
        <is>
          <t>Claude Teams y asistentes de código, una licencia por persona de desarrollo y soporte. Es el gasto que más creció en el sector y no estaba en el modelo</t>
        </is>
      </c>
    </row>
    <row r="15">
      <c r="A15" s="20" t="inlineStr">
        <is>
          <t>Comercial</t>
        </is>
      </c>
      <c r="B15" s="13" t="inlineStr">
        <is>
          <t>Marketing y contenidos</t>
        </is>
      </c>
      <c r="C15" s="15" t="n">
        <v>175000</v>
      </c>
      <c r="D15" s="15" t="n">
        <v>260000</v>
      </c>
      <c r="E15" s="15" t="n">
        <v>340000</v>
      </c>
      <c r="F15" s="15" t="n">
        <v>420000</v>
      </c>
      <c r="G15" s="37" t="inlineStr">
        <is>
          <t>OPEX</t>
        </is>
      </c>
      <c r="H15" s="37" t="inlineStr">
        <is>
          <t>Local</t>
        </is>
      </c>
      <c r="J15" s="3" t="inlineStr">
        <is>
          <t>Pauta, contenidos y herramientas de campaña</t>
        </is>
      </c>
    </row>
    <row r="16">
      <c r="A16" s="20" t="inlineStr">
        <is>
          <t>Administración</t>
        </is>
      </c>
      <c r="B16" s="13" t="inlineStr">
        <is>
          <t>Estudio contable y legales</t>
        </is>
      </c>
      <c r="C16" s="15" t="n">
        <v>105000</v>
      </c>
      <c r="D16" s="15" t="n">
        <v>130000</v>
      </c>
      <c r="E16" s="15" t="n">
        <v>170000</v>
      </c>
      <c r="F16" s="15" t="n">
        <v>210000</v>
      </c>
      <c r="G16" s="37" t="inlineStr">
        <is>
          <t>OPEX</t>
        </is>
      </c>
      <c r="H16" s="37" t="inlineStr">
        <is>
          <t>Local</t>
        </is>
      </c>
      <c r="J16" s="3" t="inlineStr">
        <is>
          <t>Honorarios mensuales del estudio</t>
        </is>
      </c>
    </row>
    <row r="17">
      <c r="A17" s="20" t="inlineStr">
        <is>
          <t>Operación</t>
        </is>
      </c>
      <c r="B17" s="13" t="inlineStr">
        <is>
          <t>Espacio de trabajo y telefonía</t>
        </is>
      </c>
      <c r="C17" s="15" t="n">
        <v>45000</v>
      </c>
      <c r="D17" s="15" t="n">
        <v>68000</v>
      </c>
      <c r="E17" s="15" t="n">
        <v>105000</v>
      </c>
      <c r="F17" s="15" t="n">
        <v>145000</v>
      </c>
      <c r="G17" s="37" t="inlineStr">
        <is>
          <t>OPEX</t>
        </is>
      </c>
      <c r="H17" s="37" t="inlineStr">
        <is>
          <t>Local</t>
        </is>
      </c>
      <c r="J17" s="3" t="inlineStr">
        <is>
          <t>Coworking por puesto y telefonía. No hay inmueble propio, así que el modelo no tiene impuesto inmobiliario</t>
        </is>
      </c>
    </row>
    <row r="18">
      <c r="A18" s="20" t="inlineStr">
        <is>
          <t>Operación</t>
        </is>
      </c>
      <c r="B18" s="13" t="inlineStr">
        <is>
          <t>Conectividad del equipo remoto</t>
        </is>
      </c>
      <c r="C18" s="15" t="n">
        <v>24000</v>
      </c>
      <c r="D18" s="15" t="n">
        <v>40000</v>
      </c>
      <c r="E18" s="15" t="n">
        <v>60000</v>
      </c>
      <c r="F18" s="15" t="n">
        <v>84000</v>
      </c>
      <c r="G18" s="37" t="inlineStr">
        <is>
          <t>OPEX</t>
        </is>
      </c>
      <c r="H18" s="37" t="inlineStr">
        <is>
          <t>Local</t>
        </is>
      </c>
      <c r="J18" s="3" t="inlineStr">
        <is>
          <t>Reintegro de internet a cada persona: el equipo trabaja remoto y la conexión es una condición de trabajo, no un gasto personal</t>
        </is>
      </c>
    </row>
    <row r="19">
      <c r="A19" s="20" t="inlineStr">
        <is>
          <t>Operación</t>
        </is>
      </c>
      <c r="B19" s="13" t="inlineStr">
        <is>
          <t>Otros gastos operativos</t>
        </is>
      </c>
      <c r="C19" s="15" t="n">
        <v>40000</v>
      </c>
      <c r="D19" s="15" t="n">
        <v>60000</v>
      </c>
      <c r="E19" s="15" t="n">
        <v>90000</v>
      </c>
      <c r="F19" s="15" t="n">
        <v>120000</v>
      </c>
      <c r="G19" s="37" t="inlineStr">
        <is>
          <t>OPEX</t>
        </is>
      </c>
      <c r="H19" s="37" t="inlineStr">
        <is>
          <t>Local</t>
        </is>
      </c>
      <c r="J19" s="3" t="inlineStr">
        <is>
          <t>Bancarios, papelería, imprevistos menores</t>
        </is>
      </c>
    </row>
    <row r="20">
      <c r="B20" s="20" t="inlineStr">
        <is>
          <t>Total mensual</t>
        </is>
      </c>
      <c r="C20" s="18">
        <f>SUM(C12:C19)</f>
        <v/>
      </c>
      <c r="D20" s="18">
        <f>SUM(D12:D19)</f>
        <v/>
      </c>
      <c r="E20" s="18">
        <f>SUM(E12:E19)</f>
        <v/>
      </c>
      <c r="F20" s="18">
        <f>SUM(F12:F19)</f>
        <v/>
      </c>
    </row>
    <row r="21">
      <c r="B21" s="13" t="inlineStr">
        <is>
          <t xml:space="preserve">    del cual se paga al exterior</t>
        </is>
      </c>
      <c r="C21" s="28">
        <f>SUMIF($H$12:$H$19,"Exterior",C12:C19)</f>
        <v/>
      </c>
      <c r="D21" s="28">
        <f>SUMIF($H$12:$H$19,"Exterior",D12:D19)</f>
        <v/>
      </c>
      <c r="E21" s="28">
        <f>SUMIF($H$12:$H$19,"Exterior",E12:E19)</f>
        <v/>
      </c>
      <c r="F21" s="28">
        <f>SUMIF($H$12:$H$19,"Exterior",F12:F19)</f>
        <v/>
      </c>
      <c r="J21" s="3" t="inlineStr">
        <is>
          <t>Servicios digitales importados: nube, licencias y herramientas de IA. La hoja Impuestos les aplica el IVA acrecentado y la retención a beneficiarios del exterior</t>
        </is>
      </c>
    </row>
    <row r="22"/>
    <row r="23">
      <c r="B23" s="9" t="inlineStr">
        <is>
          <t>Desarrollo mensual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20" t="inlineStr">
        <is>
          <t>Infraestructura</t>
        </is>
      </c>
      <c r="B24" s="13" t="inlineStr">
        <is>
          <t>Infraestructura en la nube (base)</t>
        </is>
      </c>
      <c r="C24" s="28">
        <f>$C$12</f>
        <v/>
      </c>
      <c r="D24" s="28">
        <f>$C$12</f>
        <v/>
      </c>
      <c r="E24" s="28">
        <f>$C$12</f>
        <v/>
      </c>
      <c r="F24" s="28">
        <f>$C$12</f>
        <v/>
      </c>
      <c r="G24" s="28">
        <f>$C$12</f>
        <v/>
      </c>
      <c r="H24" s="28">
        <f>$C$12</f>
        <v/>
      </c>
      <c r="I24" s="28">
        <f>$C$12</f>
        <v/>
      </c>
      <c r="J24" s="28">
        <f>$C$12</f>
        <v/>
      </c>
      <c r="K24" s="28">
        <f>$C$12</f>
        <v/>
      </c>
      <c r="L24" s="28">
        <f>$C$12</f>
        <v/>
      </c>
      <c r="M24" s="28">
        <f>$C$12</f>
        <v/>
      </c>
      <c r="N24" s="28">
        <f>$C$12</f>
        <v/>
      </c>
      <c r="O24" s="29">
        <f>SUM(C24:N24)</f>
        <v/>
      </c>
    </row>
    <row r="25">
      <c r="A25" s="20" t="inlineStr">
        <is>
          <t>Infraestructura</t>
        </is>
      </c>
      <c r="B25" s="13" t="inlineStr">
        <is>
          <t>Herramientas y licencias de desarrollo</t>
        </is>
      </c>
      <c r="C25" s="28">
        <f>$C$13</f>
        <v/>
      </c>
      <c r="D25" s="28">
        <f>$C$13</f>
        <v/>
      </c>
      <c r="E25" s="28">
        <f>$C$13</f>
        <v/>
      </c>
      <c r="F25" s="28">
        <f>$C$13</f>
        <v/>
      </c>
      <c r="G25" s="28">
        <f>$C$13</f>
        <v/>
      </c>
      <c r="H25" s="28">
        <f>$C$13</f>
        <v/>
      </c>
      <c r="I25" s="28">
        <f>$C$13</f>
        <v/>
      </c>
      <c r="J25" s="28">
        <f>$C$13</f>
        <v/>
      </c>
      <c r="K25" s="28">
        <f>$C$13</f>
        <v/>
      </c>
      <c r="L25" s="28">
        <f>$C$13</f>
        <v/>
      </c>
      <c r="M25" s="28">
        <f>$C$13</f>
        <v/>
      </c>
      <c r="N25" s="28">
        <f>$C$13</f>
        <v/>
      </c>
      <c r="O25" s="29">
        <f>SUM(C25:N25)</f>
        <v/>
      </c>
    </row>
    <row r="26">
      <c r="A26" s="20" t="inlineStr">
        <is>
          <t>Infraestructura</t>
        </is>
      </c>
      <c r="B26" s="13" t="inlineStr">
        <is>
          <t>Herramientas de IA del equipo</t>
        </is>
      </c>
      <c r="C26" s="28">
        <f>$C$14</f>
        <v/>
      </c>
      <c r="D26" s="28">
        <f>$C$14</f>
        <v/>
      </c>
      <c r="E26" s="28">
        <f>$C$14</f>
        <v/>
      </c>
      <c r="F26" s="28">
        <f>$C$14</f>
        <v/>
      </c>
      <c r="G26" s="28">
        <f>$C$14</f>
        <v/>
      </c>
      <c r="H26" s="28">
        <f>$C$14</f>
        <v/>
      </c>
      <c r="I26" s="28">
        <f>$C$14</f>
        <v/>
      </c>
      <c r="J26" s="28">
        <f>$C$14</f>
        <v/>
      </c>
      <c r="K26" s="28">
        <f>$C$14</f>
        <v/>
      </c>
      <c r="L26" s="28">
        <f>$C$14</f>
        <v/>
      </c>
      <c r="M26" s="28">
        <f>$C$14</f>
        <v/>
      </c>
      <c r="N26" s="28">
        <f>$C$14</f>
        <v/>
      </c>
      <c r="O26" s="29">
        <f>SUM(C26:N26)</f>
        <v/>
      </c>
    </row>
    <row r="27">
      <c r="A27" s="20" t="inlineStr">
        <is>
          <t>Comercial</t>
        </is>
      </c>
      <c r="B27" s="13" t="inlineStr">
        <is>
          <t>Marketing y contenidos</t>
        </is>
      </c>
      <c r="C27" s="28">
        <f>$C$15</f>
        <v/>
      </c>
      <c r="D27" s="28">
        <f>$C$15</f>
        <v/>
      </c>
      <c r="E27" s="28">
        <f>$C$15</f>
        <v/>
      </c>
      <c r="F27" s="28">
        <f>$C$15</f>
        <v/>
      </c>
      <c r="G27" s="28">
        <f>$C$15</f>
        <v/>
      </c>
      <c r="H27" s="28">
        <f>$C$15</f>
        <v/>
      </c>
      <c r="I27" s="28">
        <f>$C$15</f>
        <v/>
      </c>
      <c r="J27" s="28">
        <f>$C$15</f>
        <v/>
      </c>
      <c r="K27" s="28">
        <f>$C$15</f>
        <v/>
      </c>
      <c r="L27" s="28">
        <f>$C$15</f>
        <v/>
      </c>
      <c r="M27" s="28">
        <f>$C$15</f>
        <v/>
      </c>
      <c r="N27" s="28">
        <f>$C$15</f>
        <v/>
      </c>
      <c r="O27" s="29">
        <f>SUM(C27:N27)</f>
        <v/>
      </c>
    </row>
    <row r="28">
      <c r="A28" s="20" t="inlineStr">
        <is>
          <t>Administración</t>
        </is>
      </c>
      <c r="B28" s="13" t="inlineStr">
        <is>
          <t>Estudio contable y legales</t>
        </is>
      </c>
      <c r="C28" s="28">
        <f>$C$16</f>
        <v/>
      </c>
      <c r="D28" s="28">
        <f>$C$16</f>
        <v/>
      </c>
      <c r="E28" s="28">
        <f>$C$16</f>
        <v/>
      </c>
      <c r="F28" s="28">
        <f>$C$16</f>
        <v/>
      </c>
      <c r="G28" s="28">
        <f>$C$16</f>
        <v/>
      </c>
      <c r="H28" s="28">
        <f>$C$16</f>
        <v/>
      </c>
      <c r="I28" s="28">
        <f>$C$16</f>
        <v/>
      </c>
      <c r="J28" s="28">
        <f>$C$16</f>
        <v/>
      </c>
      <c r="K28" s="28">
        <f>$C$16</f>
        <v/>
      </c>
      <c r="L28" s="28">
        <f>$C$16</f>
        <v/>
      </c>
      <c r="M28" s="28">
        <f>$C$16</f>
        <v/>
      </c>
      <c r="N28" s="28">
        <f>$C$16</f>
        <v/>
      </c>
      <c r="O28" s="29">
        <f>SUM(C28:N28)</f>
        <v/>
      </c>
    </row>
    <row r="29">
      <c r="A29" s="20" t="inlineStr">
        <is>
          <t>Operación</t>
        </is>
      </c>
      <c r="B29" s="13" t="inlineStr">
        <is>
          <t>Espacio de trabajo y telefonía</t>
        </is>
      </c>
      <c r="C29" s="28">
        <f>$C$17</f>
        <v/>
      </c>
      <c r="D29" s="28">
        <f>$C$17</f>
        <v/>
      </c>
      <c r="E29" s="28">
        <f>$C$17</f>
        <v/>
      </c>
      <c r="F29" s="28">
        <f>$C$17</f>
        <v/>
      </c>
      <c r="G29" s="28">
        <f>$C$17</f>
        <v/>
      </c>
      <c r="H29" s="28">
        <f>$C$17</f>
        <v/>
      </c>
      <c r="I29" s="28">
        <f>$C$17</f>
        <v/>
      </c>
      <c r="J29" s="28">
        <f>$C$17</f>
        <v/>
      </c>
      <c r="K29" s="28">
        <f>$C$17</f>
        <v/>
      </c>
      <c r="L29" s="28">
        <f>$C$17</f>
        <v/>
      </c>
      <c r="M29" s="28">
        <f>$C$17</f>
        <v/>
      </c>
      <c r="N29" s="28">
        <f>$C$17</f>
        <v/>
      </c>
      <c r="O29" s="29">
        <f>SUM(C29:N29)</f>
        <v/>
      </c>
    </row>
    <row r="30">
      <c r="A30" s="20" t="inlineStr">
        <is>
          <t>Operación</t>
        </is>
      </c>
      <c r="B30" s="13" t="inlineStr">
        <is>
          <t>Conectividad del equipo remoto</t>
        </is>
      </c>
      <c r="C30" s="28">
        <f>$C$18</f>
        <v/>
      </c>
      <c r="D30" s="28">
        <f>$C$18</f>
        <v/>
      </c>
      <c r="E30" s="28">
        <f>$C$18</f>
        <v/>
      </c>
      <c r="F30" s="28">
        <f>$C$18</f>
        <v/>
      </c>
      <c r="G30" s="28">
        <f>$C$18</f>
        <v/>
      </c>
      <c r="H30" s="28">
        <f>$C$18</f>
        <v/>
      </c>
      <c r="I30" s="28">
        <f>$C$18</f>
        <v/>
      </c>
      <c r="J30" s="28">
        <f>$C$18</f>
        <v/>
      </c>
      <c r="K30" s="28">
        <f>$C$18</f>
        <v/>
      </c>
      <c r="L30" s="28">
        <f>$C$18</f>
        <v/>
      </c>
      <c r="M30" s="28">
        <f>$C$18</f>
        <v/>
      </c>
      <c r="N30" s="28">
        <f>$C$18</f>
        <v/>
      </c>
      <c r="O30" s="29">
        <f>SUM(C30:N30)</f>
        <v/>
      </c>
    </row>
    <row r="31">
      <c r="A31" s="20" t="inlineStr">
        <is>
          <t>Operación</t>
        </is>
      </c>
      <c r="B31" s="13" t="inlineStr">
        <is>
          <t>Otros gastos operativos</t>
        </is>
      </c>
      <c r="C31" s="28">
        <f>$C$19</f>
        <v/>
      </c>
      <c r="D31" s="28">
        <f>$C$19</f>
        <v/>
      </c>
      <c r="E31" s="28">
        <f>$C$19</f>
        <v/>
      </c>
      <c r="F31" s="28">
        <f>$C$19</f>
        <v/>
      </c>
      <c r="G31" s="28">
        <f>$C$19</f>
        <v/>
      </c>
      <c r="H31" s="28">
        <f>$C$19</f>
        <v/>
      </c>
      <c r="I31" s="28">
        <f>$C$19</f>
        <v/>
      </c>
      <c r="J31" s="28">
        <f>$C$19</f>
        <v/>
      </c>
      <c r="K31" s="28">
        <f>$C$19</f>
        <v/>
      </c>
      <c r="L31" s="28">
        <f>$C$19</f>
        <v/>
      </c>
      <c r="M31" s="28">
        <f>$C$19</f>
        <v/>
      </c>
      <c r="N31" s="28">
        <f>$C$19</f>
        <v/>
      </c>
      <c r="O31" s="29">
        <f>SUM(C31:N31)</f>
        <v/>
      </c>
    </row>
    <row r="32">
      <c r="A32" s="20" t="inlineStr">
        <is>
          <t>COSTOS FIJOS</t>
        </is>
      </c>
      <c r="B32" s="20" t="inlineStr">
        <is>
          <t>Total de costos fijos</t>
        </is>
      </c>
      <c r="C32" s="18">
        <f>SUM(C24:C31)</f>
        <v/>
      </c>
      <c r="D32" s="18">
        <f>SUM(D24:D31)</f>
        <v/>
      </c>
      <c r="E32" s="18">
        <f>SUM(E24:E31)</f>
        <v/>
      </c>
      <c r="F32" s="18">
        <f>SUM(F24:F31)</f>
        <v/>
      </c>
      <c r="G32" s="18">
        <f>SUM(G24:G31)</f>
        <v/>
      </c>
      <c r="H32" s="18">
        <f>SUM(H24:H31)</f>
        <v/>
      </c>
      <c r="I32" s="18">
        <f>SUM(I24:I31)</f>
        <v/>
      </c>
      <c r="J32" s="18">
        <f>SUM(J24:J31)</f>
        <v/>
      </c>
      <c r="K32" s="18">
        <f>SUM(K24:K31)</f>
        <v/>
      </c>
      <c r="L32" s="18">
        <f>SUM(L24:L31)</f>
        <v/>
      </c>
      <c r="M32" s="18">
        <f>SUM(M24:M31)</f>
        <v/>
      </c>
      <c r="N32" s="18">
        <f>SUM(N24:N31)</f>
        <v/>
      </c>
      <c r="O32" s="29">
        <f>SUM(C32:N32)</f>
        <v/>
      </c>
    </row>
    <row r="33"/>
    <row r="34"/>
    <row r="35">
      <c r="C35" s="5" t="n">
        <v>2028</v>
      </c>
    </row>
    <row r="36">
      <c r="C36" s="26" t="inlineStr">
        <is>
          <t>Ene</t>
        </is>
      </c>
      <c r="D36" s="26" t="inlineStr">
        <is>
          <t>Feb</t>
        </is>
      </c>
      <c r="E36" s="26" t="inlineStr">
        <is>
          <t>Mar</t>
        </is>
      </c>
      <c r="F36" s="26" t="inlineStr">
        <is>
          <t>Abr</t>
        </is>
      </c>
      <c r="G36" s="26" t="inlineStr">
        <is>
          <t>May</t>
        </is>
      </c>
      <c r="H36" s="26" t="inlineStr">
        <is>
          <t>Jun</t>
        </is>
      </c>
      <c r="I36" s="26" t="inlineStr">
        <is>
          <t>Jul</t>
        </is>
      </c>
      <c r="J36" s="26" t="inlineStr">
        <is>
          <t>Ago</t>
        </is>
      </c>
      <c r="K36" s="26" t="inlineStr">
        <is>
          <t>Sep</t>
        </is>
      </c>
      <c r="L36" s="26" t="inlineStr">
        <is>
          <t>Oct</t>
        </is>
      </c>
      <c r="M36" s="26" t="inlineStr">
        <is>
          <t>Nov</t>
        </is>
      </c>
      <c r="N36" s="26" t="inlineStr">
        <is>
          <t>Dic</t>
        </is>
      </c>
      <c r="O36" s="27" t="inlineStr">
        <is>
          <t>Total 2028</t>
        </is>
      </c>
    </row>
    <row r="37"/>
    <row r="38">
      <c r="B38" s="9" t="inlineStr">
        <is>
          <t>Importe mensual por año (celdas de entrada)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/>
    <row r="40">
      <c r="A40" s="20" t="inlineStr">
        <is>
          <t>Infraestructura</t>
        </is>
      </c>
      <c r="B40" s="13" t="inlineStr">
        <is>
          <t>Infraestructura en la nube (base)</t>
        </is>
      </c>
    </row>
    <row r="41">
      <c r="A41" s="20" t="inlineStr">
        <is>
          <t>Infraestructura</t>
        </is>
      </c>
      <c r="B41" s="13" t="inlineStr">
        <is>
          <t>Herramientas y licencias de desarrollo</t>
        </is>
      </c>
    </row>
    <row r="42">
      <c r="A42" s="20" t="inlineStr">
        <is>
          <t>Infraestructura</t>
        </is>
      </c>
      <c r="B42" s="13" t="inlineStr">
        <is>
          <t>Herramientas de IA del equipo</t>
        </is>
      </c>
    </row>
    <row r="43">
      <c r="A43" s="20" t="inlineStr">
        <is>
          <t>Comercial</t>
        </is>
      </c>
      <c r="B43" s="13" t="inlineStr">
        <is>
          <t>Marketing y contenidos</t>
        </is>
      </c>
    </row>
    <row r="44">
      <c r="A44" s="20" t="inlineStr">
        <is>
          <t>Administración</t>
        </is>
      </c>
      <c r="B44" s="13" t="inlineStr">
        <is>
          <t>Estudio contable y legales</t>
        </is>
      </c>
    </row>
    <row r="45">
      <c r="A45" s="20" t="inlineStr">
        <is>
          <t>Operación</t>
        </is>
      </c>
      <c r="B45" s="13" t="inlineStr">
        <is>
          <t>Espacio de trabajo y telefonía</t>
        </is>
      </c>
    </row>
    <row r="46">
      <c r="A46" s="20" t="inlineStr">
        <is>
          <t>Operación</t>
        </is>
      </c>
      <c r="B46" s="13" t="inlineStr">
        <is>
          <t>Conectividad del equipo remoto</t>
        </is>
      </c>
    </row>
    <row r="47">
      <c r="A47" s="20" t="inlineStr">
        <is>
          <t>Operación</t>
        </is>
      </c>
      <c r="B47" s="13" t="inlineStr">
        <is>
          <t>Otros gastos operativos</t>
        </is>
      </c>
    </row>
    <row r="48">
      <c r="B48" s="20" t="inlineStr">
        <is>
          <t>Total mensual</t>
        </is>
      </c>
    </row>
    <row r="49">
      <c r="B49" s="13" t="inlineStr">
        <is>
          <t xml:space="preserve">    del cual se paga al exterior</t>
        </is>
      </c>
    </row>
    <row r="50"/>
    <row r="51">
      <c r="B51" s="9" t="inlineStr">
        <is>
          <t>Desarrollo mensual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20" t="inlineStr">
        <is>
          <t>Infraestructura</t>
        </is>
      </c>
      <c r="B52" s="13" t="inlineStr">
        <is>
          <t>Infraestructura en la nube (base)</t>
        </is>
      </c>
      <c r="C52" s="28">
        <f>$D$12</f>
        <v/>
      </c>
      <c r="D52" s="28">
        <f>$D$12</f>
        <v/>
      </c>
      <c r="E52" s="28">
        <f>$D$12</f>
        <v/>
      </c>
      <c r="F52" s="28">
        <f>$D$12</f>
        <v/>
      </c>
      <c r="G52" s="28">
        <f>$D$12</f>
        <v/>
      </c>
      <c r="H52" s="28">
        <f>$D$12</f>
        <v/>
      </c>
      <c r="I52" s="28">
        <f>$D$12</f>
        <v/>
      </c>
      <c r="J52" s="28">
        <f>$D$12</f>
        <v/>
      </c>
      <c r="K52" s="28">
        <f>$D$12</f>
        <v/>
      </c>
      <c r="L52" s="28">
        <f>$D$12</f>
        <v/>
      </c>
      <c r="M52" s="28">
        <f>$D$12</f>
        <v/>
      </c>
      <c r="N52" s="28">
        <f>$D$12</f>
        <v/>
      </c>
      <c r="O52" s="29">
        <f>SUM(C52:N52)</f>
        <v/>
      </c>
    </row>
    <row r="53">
      <c r="A53" s="20" t="inlineStr">
        <is>
          <t>Infraestructura</t>
        </is>
      </c>
      <c r="B53" s="13" t="inlineStr">
        <is>
          <t>Herramientas y licencias de desarrollo</t>
        </is>
      </c>
      <c r="C53" s="28">
        <f>$D$13</f>
        <v/>
      </c>
      <c r="D53" s="28">
        <f>$D$13</f>
        <v/>
      </c>
      <c r="E53" s="28">
        <f>$D$13</f>
        <v/>
      </c>
      <c r="F53" s="28">
        <f>$D$13</f>
        <v/>
      </c>
      <c r="G53" s="28">
        <f>$D$13</f>
        <v/>
      </c>
      <c r="H53" s="28">
        <f>$D$13</f>
        <v/>
      </c>
      <c r="I53" s="28">
        <f>$D$13</f>
        <v/>
      </c>
      <c r="J53" s="28">
        <f>$D$13</f>
        <v/>
      </c>
      <c r="K53" s="28">
        <f>$D$13</f>
        <v/>
      </c>
      <c r="L53" s="28">
        <f>$D$13</f>
        <v/>
      </c>
      <c r="M53" s="28">
        <f>$D$13</f>
        <v/>
      </c>
      <c r="N53" s="28">
        <f>$D$13</f>
        <v/>
      </c>
      <c r="O53" s="29">
        <f>SUM(C53:N53)</f>
        <v/>
      </c>
    </row>
    <row r="54">
      <c r="A54" s="20" t="inlineStr">
        <is>
          <t>Infraestructura</t>
        </is>
      </c>
      <c r="B54" s="13" t="inlineStr">
        <is>
          <t>Herramientas de IA del equipo</t>
        </is>
      </c>
      <c r="C54" s="28">
        <f>$D$14</f>
        <v/>
      </c>
      <c r="D54" s="28">
        <f>$D$14</f>
        <v/>
      </c>
      <c r="E54" s="28">
        <f>$D$14</f>
        <v/>
      </c>
      <c r="F54" s="28">
        <f>$D$14</f>
        <v/>
      </c>
      <c r="G54" s="28">
        <f>$D$14</f>
        <v/>
      </c>
      <c r="H54" s="28">
        <f>$D$14</f>
        <v/>
      </c>
      <c r="I54" s="28">
        <f>$D$14</f>
        <v/>
      </c>
      <c r="J54" s="28">
        <f>$D$14</f>
        <v/>
      </c>
      <c r="K54" s="28">
        <f>$D$14</f>
        <v/>
      </c>
      <c r="L54" s="28">
        <f>$D$14</f>
        <v/>
      </c>
      <c r="M54" s="28">
        <f>$D$14</f>
        <v/>
      </c>
      <c r="N54" s="28">
        <f>$D$14</f>
        <v/>
      </c>
      <c r="O54" s="29">
        <f>SUM(C54:N54)</f>
        <v/>
      </c>
    </row>
    <row r="55">
      <c r="A55" s="20" t="inlineStr">
        <is>
          <t>Comercial</t>
        </is>
      </c>
      <c r="B55" s="13" t="inlineStr">
        <is>
          <t>Marketing y contenidos</t>
        </is>
      </c>
      <c r="C55" s="28">
        <f>$D$15</f>
        <v/>
      </c>
      <c r="D55" s="28">
        <f>$D$15</f>
        <v/>
      </c>
      <c r="E55" s="28">
        <f>$D$15</f>
        <v/>
      </c>
      <c r="F55" s="28">
        <f>$D$15</f>
        <v/>
      </c>
      <c r="G55" s="28">
        <f>$D$15</f>
        <v/>
      </c>
      <c r="H55" s="28">
        <f>$D$15</f>
        <v/>
      </c>
      <c r="I55" s="28">
        <f>$D$15</f>
        <v/>
      </c>
      <c r="J55" s="28">
        <f>$D$15</f>
        <v/>
      </c>
      <c r="K55" s="28">
        <f>$D$15</f>
        <v/>
      </c>
      <c r="L55" s="28">
        <f>$D$15</f>
        <v/>
      </c>
      <c r="M55" s="28">
        <f>$D$15</f>
        <v/>
      </c>
      <c r="N55" s="28">
        <f>$D$15</f>
        <v/>
      </c>
      <c r="O55" s="29">
        <f>SUM(C55:N55)</f>
        <v/>
      </c>
    </row>
    <row r="56">
      <c r="A56" s="20" t="inlineStr">
        <is>
          <t>Administración</t>
        </is>
      </c>
      <c r="B56" s="13" t="inlineStr">
        <is>
          <t>Estudio contable y legales</t>
        </is>
      </c>
      <c r="C56" s="28">
        <f>$D$16</f>
        <v/>
      </c>
      <c r="D56" s="28">
        <f>$D$16</f>
        <v/>
      </c>
      <c r="E56" s="28">
        <f>$D$16</f>
        <v/>
      </c>
      <c r="F56" s="28">
        <f>$D$16</f>
        <v/>
      </c>
      <c r="G56" s="28">
        <f>$D$16</f>
        <v/>
      </c>
      <c r="H56" s="28">
        <f>$D$16</f>
        <v/>
      </c>
      <c r="I56" s="28">
        <f>$D$16</f>
        <v/>
      </c>
      <c r="J56" s="28">
        <f>$D$16</f>
        <v/>
      </c>
      <c r="K56" s="28">
        <f>$D$16</f>
        <v/>
      </c>
      <c r="L56" s="28">
        <f>$D$16</f>
        <v/>
      </c>
      <c r="M56" s="28">
        <f>$D$16</f>
        <v/>
      </c>
      <c r="N56" s="28">
        <f>$D$16</f>
        <v/>
      </c>
      <c r="O56" s="29">
        <f>SUM(C56:N56)</f>
        <v/>
      </c>
    </row>
    <row r="57">
      <c r="A57" s="20" t="inlineStr">
        <is>
          <t>Operación</t>
        </is>
      </c>
      <c r="B57" s="13" t="inlineStr">
        <is>
          <t>Espacio de trabajo y telefonía</t>
        </is>
      </c>
      <c r="C57" s="28">
        <f>$D$17</f>
        <v/>
      </c>
      <c r="D57" s="28">
        <f>$D$17</f>
        <v/>
      </c>
      <c r="E57" s="28">
        <f>$D$17</f>
        <v/>
      </c>
      <c r="F57" s="28">
        <f>$D$17</f>
        <v/>
      </c>
      <c r="G57" s="28">
        <f>$D$17</f>
        <v/>
      </c>
      <c r="H57" s="28">
        <f>$D$17</f>
        <v/>
      </c>
      <c r="I57" s="28">
        <f>$D$17</f>
        <v/>
      </c>
      <c r="J57" s="28">
        <f>$D$17</f>
        <v/>
      </c>
      <c r="K57" s="28">
        <f>$D$17</f>
        <v/>
      </c>
      <c r="L57" s="28">
        <f>$D$17</f>
        <v/>
      </c>
      <c r="M57" s="28">
        <f>$D$17</f>
        <v/>
      </c>
      <c r="N57" s="28">
        <f>$D$17</f>
        <v/>
      </c>
      <c r="O57" s="29">
        <f>SUM(C57:N57)</f>
        <v/>
      </c>
    </row>
    <row r="58">
      <c r="A58" s="20" t="inlineStr">
        <is>
          <t>Operación</t>
        </is>
      </c>
      <c r="B58" s="13" t="inlineStr">
        <is>
          <t>Conectividad del equipo remoto</t>
        </is>
      </c>
      <c r="C58" s="28">
        <f>$D$18</f>
        <v/>
      </c>
      <c r="D58" s="28">
        <f>$D$18</f>
        <v/>
      </c>
      <c r="E58" s="28">
        <f>$D$18</f>
        <v/>
      </c>
      <c r="F58" s="28">
        <f>$D$18</f>
        <v/>
      </c>
      <c r="G58" s="28">
        <f>$D$18</f>
        <v/>
      </c>
      <c r="H58" s="28">
        <f>$D$18</f>
        <v/>
      </c>
      <c r="I58" s="28">
        <f>$D$18</f>
        <v/>
      </c>
      <c r="J58" s="28">
        <f>$D$18</f>
        <v/>
      </c>
      <c r="K58" s="28">
        <f>$D$18</f>
        <v/>
      </c>
      <c r="L58" s="28">
        <f>$D$18</f>
        <v/>
      </c>
      <c r="M58" s="28">
        <f>$D$18</f>
        <v/>
      </c>
      <c r="N58" s="28">
        <f>$D$18</f>
        <v/>
      </c>
      <c r="O58" s="29">
        <f>SUM(C58:N58)</f>
        <v/>
      </c>
    </row>
    <row r="59">
      <c r="A59" s="20" t="inlineStr">
        <is>
          <t>Operación</t>
        </is>
      </c>
      <c r="B59" s="13" t="inlineStr">
        <is>
          <t>Otros gastos operativos</t>
        </is>
      </c>
      <c r="C59" s="28">
        <f>$D$19</f>
        <v/>
      </c>
      <c r="D59" s="28">
        <f>$D$19</f>
        <v/>
      </c>
      <c r="E59" s="28">
        <f>$D$19</f>
        <v/>
      </c>
      <c r="F59" s="28">
        <f>$D$19</f>
        <v/>
      </c>
      <c r="G59" s="28">
        <f>$D$19</f>
        <v/>
      </c>
      <c r="H59" s="28">
        <f>$D$19</f>
        <v/>
      </c>
      <c r="I59" s="28">
        <f>$D$19</f>
        <v/>
      </c>
      <c r="J59" s="28">
        <f>$D$19</f>
        <v/>
      </c>
      <c r="K59" s="28">
        <f>$D$19</f>
        <v/>
      </c>
      <c r="L59" s="28">
        <f>$D$19</f>
        <v/>
      </c>
      <c r="M59" s="28">
        <f>$D$19</f>
        <v/>
      </c>
      <c r="N59" s="28">
        <f>$D$19</f>
        <v/>
      </c>
      <c r="O59" s="29">
        <f>SUM(C59:N59)</f>
        <v/>
      </c>
    </row>
    <row r="60">
      <c r="A60" s="20" t="inlineStr">
        <is>
          <t>COSTOS FIJOS</t>
        </is>
      </c>
      <c r="B60" s="20" t="inlineStr">
        <is>
          <t>Total de costos fijos</t>
        </is>
      </c>
      <c r="C60" s="18">
        <f>SUM(C52:C59)</f>
        <v/>
      </c>
      <c r="D60" s="18">
        <f>SUM(D52:D59)</f>
        <v/>
      </c>
      <c r="E60" s="18">
        <f>SUM(E52:E59)</f>
        <v/>
      </c>
      <c r="F60" s="18">
        <f>SUM(F52:F59)</f>
        <v/>
      </c>
      <c r="G60" s="18">
        <f>SUM(G52:G59)</f>
        <v/>
      </c>
      <c r="H60" s="18">
        <f>SUM(H52:H59)</f>
        <v/>
      </c>
      <c r="I60" s="18">
        <f>SUM(I52:I59)</f>
        <v/>
      </c>
      <c r="J60" s="18">
        <f>SUM(J52:J59)</f>
        <v/>
      </c>
      <c r="K60" s="18">
        <f>SUM(K52:K59)</f>
        <v/>
      </c>
      <c r="L60" s="18">
        <f>SUM(L52:L59)</f>
        <v/>
      </c>
      <c r="M60" s="18">
        <f>SUM(M52:M59)</f>
        <v/>
      </c>
      <c r="N60" s="18">
        <f>SUM(N52:N59)</f>
        <v/>
      </c>
      <c r="O60" s="29">
        <f>SUM(C60:N60)</f>
        <v/>
      </c>
    </row>
    <row r="61"/>
    <row r="62"/>
    <row r="63">
      <c r="C63" s="5" t="n">
        <v>2029</v>
      </c>
    </row>
    <row r="64">
      <c r="C64" s="26" t="inlineStr">
        <is>
          <t>Ene</t>
        </is>
      </c>
      <c r="D64" s="26" t="inlineStr">
        <is>
          <t>Feb</t>
        </is>
      </c>
      <c r="E64" s="26" t="inlineStr">
        <is>
          <t>Mar</t>
        </is>
      </c>
      <c r="F64" s="26" t="inlineStr">
        <is>
          <t>Abr</t>
        </is>
      </c>
      <c r="G64" s="26" t="inlineStr">
        <is>
          <t>May</t>
        </is>
      </c>
      <c r="H64" s="26" t="inlineStr">
        <is>
          <t>Jun</t>
        </is>
      </c>
      <c r="I64" s="26" t="inlineStr">
        <is>
          <t>Jul</t>
        </is>
      </c>
      <c r="J64" s="26" t="inlineStr">
        <is>
          <t>Ago</t>
        </is>
      </c>
      <c r="K64" s="26" t="inlineStr">
        <is>
          <t>Sep</t>
        </is>
      </c>
      <c r="L64" s="26" t="inlineStr">
        <is>
          <t>Oct</t>
        </is>
      </c>
      <c r="M64" s="26" t="inlineStr">
        <is>
          <t>Nov</t>
        </is>
      </c>
      <c r="N64" s="26" t="inlineStr">
        <is>
          <t>Dic</t>
        </is>
      </c>
      <c r="O64" s="27" t="inlineStr">
        <is>
          <t>Total 2029</t>
        </is>
      </c>
    </row>
    <row r="65"/>
    <row r="66">
      <c r="B66" s="9" t="inlineStr">
        <is>
          <t>Importe mensual por año (celdas de entrada)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/>
    <row r="68">
      <c r="A68" s="20" t="inlineStr">
        <is>
          <t>Infraestructura</t>
        </is>
      </c>
      <c r="B68" s="13" t="inlineStr">
        <is>
          <t>Infraestructura en la nube (base)</t>
        </is>
      </c>
    </row>
    <row r="69">
      <c r="A69" s="20" t="inlineStr">
        <is>
          <t>Infraestructura</t>
        </is>
      </c>
      <c r="B69" s="13" t="inlineStr">
        <is>
          <t>Herramientas y licencias de desarrollo</t>
        </is>
      </c>
    </row>
    <row r="70">
      <c r="A70" s="20" t="inlineStr">
        <is>
          <t>Infraestructura</t>
        </is>
      </c>
      <c r="B70" s="13" t="inlineStr">
        <is>
          <t>Herramientas de IA del equipo</t>
        </is>
      </c>
    </row>
    <row r="71">
      <c r="A71" s="20" t="inlineStr">
        <is>
          <t>Comercial</t>
        </is>
      </c>
      <c r="B71" s="13" t="inlineStr">
        <is>
          <t>Marketing y contenidos</t>
        </is>
      </c>
    </row>
    <row r="72">
      <c r="A72" s="20" t="inlineStr">
        <is>
          <t>Administración</t>
        </is>
      </c>
      <c r="B72" s="13" t="inlineStr">
        <is>
          <t>Estudio contable y legales</t>
        </is>
      </c>
    </row>
    <row r="73">
      <c r="A73" s="20" t="inlineStr">
        <is>
          <t>Operación</t>
        </is>
      </c>
      <c r="B73" s="13" t="inlineStr">
        <is>
          <t>Espacio de trabajo y telefonía</t>
        </is>
      </c>
    </row>
    <row r="74">
      <c r="A74" s="20" t="inlineStr">
        <is>
          <t>Operación</t>
        </is>
      </c>
      <c r="B74" s="13" t="inlineStr">
        <is>
          <t>Conectividad del equipo remoto</t>
        </is>
      </c>
    </row>
    <row r="75">
      <c r="A75" s="20" t="inlineStr">
        <is>
          <t>Operación</t>
        </is>
      </c>
      <c r="B75" s="13" t="inlineStr">
        <is>
          <t>Otros gastos operativos</t>
        </is>
      </c>
    </row>
    <row r="76">
      <c r="B76" s="20" t="inlineStr">
        <is>
          <t>Total mensual</t>
        </is>
      </c>
    </row>
    <row r="77">
      <c r="B77" s="13" t="inlineStr">
        <is>
          <t xml:space="preserve">    del cual se paga al exterior</t>
        </is>
      </c>
    </row>
    <row r="78"/>
    <row r="79">
      <c r="B79" s="9" t="inlineStr">
        <is>
          <t>Desarrollo mensual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>
      <c r="A80" s="20" t="inlineStr">
        <is>
          <t>Infraestructura</t>
        </is>
      </c>
      <c r="B80" s="13" t="inlineStr">
        <is>
          <t>Infraestructura en la nube (base)</t>
        </is>
      </c>
      <c r="C80" s="28">
        <f>$E$12</f>
        <v/>
      </c>
      <c r="D80" s="28">
        <f>$E$12</f>
        <v/>
      </c>
      <c r="E80" s="28">
        <f>$E$12</f>
        <v/>
      </c>
      <c r="F80" s="28">
        <f>$E$12</f>
        <v/>
      </c>
      <c r="G80" s="28">
        <f>$E$12</f>
        <v/>
      </c>
      <c r="H80" s="28">
        <f>$E$12</f>
        <v/>
      </c>
      <c r="I80" s="28">
        <f>$E$12</f>
        <v/>
      </c>
      <c r="J80" s="28">
        <f>$E$12</f>
        <v/>
      </c>
      <c r="K80" s="28">
        <f>$E$12</f>
        <v/>
      </c>
      <c r="L80" s="28">
        <f>$E$12</f>
        <v/>
      </c>
      <c r="M80" s="28">
        <f>$E$12</f>
        <v/>
      </c>
      <c r="N80" s="28">
        <f>$E$12</f>
        <v/>
      </c>
      <c r="O80" s="29">
        <f>SUM(C80:N80)</f>
        <v/>
      </c>
    </row>
    <row r="81">
      <c r="A81" s="20" t="inlineStr">
        <is>
          <t>Infraestructura</t>
        </is>
      </c>
      <c r="B81" s="13" t="inlineStr">
        <is>
          <t>Herramientas y licencias de desarrollo</t>
        </is>
      </c>
      <c r="C81" s="28">
        <f>$E$13</f>
        <v/>
      </c>
      <c r="D81" s="28">
        <f>$E$13</f>
        <v/>
      </c>
      <c r="E81" s="28">
        <f>$E$13</f>
        <v/>
      </c>
      <c r="F81" s="28">
        <f>$E$13</f>
        <v/>
      </c>
      <c r="G81" s="28">
        <f>$E$13</f>
        <v/>
      </c>
      <c r="H81" s="28">
        <f>$E$13</f>
        <v/>
      </c>
      <c r="I81" s="28">
        <f>$E$13</f>
        <v/>
      </c>
      <c r="J81" s="28">
        <f>$E$13</f>
        <v/>
      </c>
      <c r="K81" s="28">
        <f>$E$13</f>
        <v/>
      </c>
      <c r="L81" s="28">
        <f>$E$13</f>
        <v/>
      </c>
      <c r="M81" s="28">
        <f>$E$13</f>
        <v/>
      </c>
      <c r="N81" s="28">
        <f>$E$13</f>
        <v/>
      </c>
      <c r="O81" s="29">
        <f>SUM(C81:N81)</f>
        <v/>
      </c>
    </row>
    <row r="82">
      <c r="A82" s="20" t="inlineStr">
        <is>
          <t>Infraestructura</t>
        </is>
      </c>
      <c r="B82" s="13" t="inlineStr">
        <is>
          <t>Herramientas de IA del equipo</t>
        </is>
      </c>
      <c r="C82" s="28">
        <f>$E$14</f>
        <v/>
      </c>
      <c r="D82" s="28">
        <f>$E$14</f>
        <v/>
      </c>
      <c r="E82" s="28">
        <f>$E$14</f>
        <v/>
      </c>
      <c r="F82" s="28">
        <f>$E$14</f>
        <v/>
      </c>
      <c r="G82" s="28">
        <f>$E$14</f>
        <v/>
      </c>
      <c r="H82" s="28">
        <f>$E$14</f>
        <v/>
      </c>
      <c r="I82" s="28">
        <f>$E$14</f>
        <v/>
      </c>
      <c r="J82" s="28">
        <f>$E$14</f>
        <v/>
      </c>
      <c r="K82" s="28">
        <f>$E$14</f>
        <v/>
      </c>
      <c r="L82" s="28">
        <f>$E$14</f>
        <v/>
      </c>
      <c r="M82" s="28">
        <f>$E$14</f>
        <v/>
      </c>
      <c r="N82" s="28">
        <f>$E$14</f>
        <v/>
      </c>
      <c r="O82" s="29">
        <f>SUM(C82:N82)</f>
        <v/>
      </c>
    </row>
    <row r="83">
      <c r="A83" s="20" t="inlineStr">
        <is>
          <t>Comercial</t>
        </is>
      </c>
      <c r="B83" s="13" t="inlineStr">
        <is>
          <t>Marketing y contenidos</t>
        </is>
      </c>
      <c r="C83" s="28">
        <f>$E$15</f>
        <v/>
      </c>
      <c r="D83" s="28">
        <f>$E$15</f>
        <v/>
      </c>
      <c r="E83" s="28">
        <f>$E$15</f>
        <v/>
      </c>
      <c r="F83" s="28">
        <f>$E$15</f>
        <v/>
      </c>
      <c r="G83" s="28">
        <f>$E$15</f>
        <v/>
      </c>
      <c r="H83" s="28">
        <f>$E$15</f>
        <v/>
      </c>
      <c r="I83" s="28">
        <f>$E$15</f>
        <v/>
      </c>
      <c r="J83" s="28">
        <f>$E$15</f>
        <v/>
      </c>
      <c r="K83" s="28">
        <f>$E$15</f>
        <v/>
      </c>
      <c r="L83" s="28">
        <f>$E$15</f>
        <v/>
      </c>
      <c r="M83" s="28">
        <f>$E$15</f>
        <v/>
      </c>
      <c r="N83" s="28">
        <f>$E$15</f>
        <v/>
      </c>
      <c r="O83" s="29">
        <f>SUM(C83:N83)</f>
        <v/>
      </c>
    </row>
    <row r="84">
      <c r="A84" s="20" t="inlineStr">
        <is>
          <t>Administración</t>
        </is>
      </c>
      <c r="B84" s="13" t="inlineStr">
        <is>
          <t>Estudio contable y legales</t>
        </is>
      </c>
      <c r="C84" s="28">
        <f>$E$16</f>
        <v/>
      </c>
      <c r="D84" s="28">
        <f>$E$16</f>
        <v/>
      </c>
      <c r="E84" s="28">
        <f>$E$16</f>
        <v/>
      </c>
      <c r="F84" s="28">
        <f>$E$16</f>
        <v/>
      </c>
      <c r="G84" s="28">
        <f>$E$16</f>
        <v/>
      </c>
      <c r="H84" s="28">
        <f>$E$16</f>
        <v/>
      </c>
      <c r="I84" s="28">
        <f>$E$16</f>
        <v/>
      </c>
      <c r="J84" s="28">
        <f>$E$16</f>
        <v/>
      </c>
      <c r="K84" s="28">
        <f>$E$16</f>
        <v/>
      </c>
      <c r="L84" s="28">
        <f>$E$16</f>
        <v/>
      </c>
      <c r="M84" s="28">
        <f>$E$16</f>
        <v/>
      </c>
      <c r="N84" s="28">
        <f>$E$16</f>
        <v/>
      </c>
      <c r="O84" s="29">
        <f>SUM(C84:N84)</f>
        <v/>
      </c>
    </row>
    <row r="85">
      <c r="A85" s="20" t="inlineStr">
        <is>
          <t>Operación</t>
        </is>
      </c>
      <c r="B85" s="13" t="inlineStr">
        <is>
          <t>Espacio de trabajo y telefonía</t>
        </is>
      </c>
      <c r="C85" s="28">
        <f>$E$17</f>
        <v/>
      </c>
      <c r="D85" s="28">
        <f>$E$17</f>
        <v/>
      </c>
      <c r="E85" s="28">
        <f>$E$17</f>
        <v/>
      </c>
      <c r="F85" s="28">
        <f>$E$17</f>
        <v/>
      </c>
      <c r="G85" s="28">
        <f>$E$17</f>
        <v/>
      </c>
      <c r="H85" s="28">
        <f>$E$17</f>
        <v/>
      </c>
      <c r="I85" s="28">
        <f>$E$17</f>
        <v/>
      </c>
      <c r="J85" s="28">
        <f>$E$17</f>
        <v/>
      </c>
      <c r="K85" s="28">
        <f>$E$17</f>
        <v/>
      </c>
      <c r="L85" s="28">
        <f>$E$17</f>
        <v/>
      </c>
      <c r="M85" s="28">
        <f>$E$17</f>
        <v/>
      </c>
      <c r="N85" s="28">
        <f>$E$17</f>
        <v/>
      </c>
      <c r="O85" s="29">
        <f>SUM(C85:N85)</f>
        <v/>
      </c>
    </row>
    <row r="86">
      <c r="A86" s="20" t="inlineStr">
        <is>
          <t>Operación</t>
        </is>
      </c>
      <c r="B86" s="13" t="inlineStr">
        <is>
          <t>Conectividad del equipo remoto</t>
        </is>
      </c>
      <c r="C86" s="28">
        <f>$E$18</f>
        <v/>
      </c>
      <c r="D86" s="28">
        <f>$E$18</f>
        <v/>
      </c>
      <c r="E86" s="28">
        <f>$E$18</f>
        <v/>
      </c>
      <c r="F86" s="28">
        <f>$E$18</f>
        <v/>
      </c>
      <c r="G86" s="28">
        <f>$E$18</f>
        <v/>
      </c>
      <c r="H86" s="28">
        <f>$E$18</f>
        <v/>
      </c>
      <c r="I86" s="28">
        <f>$E$18</f>
        <v/>
      </c>
      <c r="J86" s="28">
        <f>$E$18</f>
        <v/>
      </c>
      <c r="K86" s="28">
        <f>$E$18</f>
        <v/>
      </c>
      <c r="L86" s="28">
        <f>$E$18</f>
        <v/>
      </c>
      <c r="M86" s="28">
        <f>$E$18</f>
        <v/>
      </c>
      <c r="N86" s="28">
        <f>$E$18</f>
        <v/>
      </c>
      <c r="O86" s="29">
        <f>SUM(C86:N86)</f>
        <v/>
      </c>
    </row>
    <row r="87">
      <c r="A87" s="20" t="inlineStr">
        <is>
          <t>Operación</t>
        </is>
      </c>
      <c r="B87" s="13" t="inlineStr">
        <is>
          <t>Otros gastos operativos</t>
        </is>
      </c>
      <c r="C87" s="28">
        <f>$E$19</f>
        <v/>
      </c>
      <c r="D87" s="28">
        <f>$E$19</f>
        <v/>
      </c>
      <c r="E87" s="28">
        <f>$E$19</f>
        <v/>
      </c>
      <c r="F87" s="28">
        <f>$E$19</f>
        <v/>
      </c>
      <c r="G87" s="28">
        <f>$E$19</f>
        <v/>
      </c>
      <c r="H87" s="28">
        <f>$E$19</f>
        <v/>
      </c>
      <c r="I87" s="28">
        <f>$E$19</f>
        <v/>
      </c>
      <c r="J87" s="28">
        <f>$E$19</f>
        <v/>
      </c>
      <c r="K87" s="28">
        <f>$E$19</f>
        <v/>
      </c>
      <c r="L87" s="28">
        <f>$E$19</f>
        <v/>
      </c>
      <c r="M87" s="28">
        <f>$E$19</f>
        <v/>
      </c>
      <c r="N87" s="28">
        <f>$E$19</f>
        <v/>
      </c>
      <c r="O87" s="29">
        <f>SUM(C87:N87)</f>
        <v/>
      </c>
    </row>
    <row r="88">
      <c r="A88" s="20" t="inlineStr">
        <is>
          <t>COSTOS FIJOS</t>
        </is>
      </c>
      <c r="B88" s="20" t="inlineStr">
        <is>
          <t>Total de costos fijos</t>
        </is>
      </c>
      <c r="C88" s="18">
        <f>SUM(C80:C87)</f>
        <v/>
      </c>
      <c r="D88" s="18">
        <f>SUM(D80:D87)</f>
        <v/>
      </c>
      <c r="E88" s="18">
        <f>SUM(E80:E87)</f>
        <v/>
      </c>
      <c r="F88" s="18">
        <f>SUM(F80:F87)</f>
        <v/>
      </c>
      <c r="G88" s="18">
        <f>SUM(G80:G87)</f>
        <v/>
      </c>
      <c r="H88" s="18">
        <f>SUM(H80:H87)</f>
        <v/>
      </c>
      <c r="I88" s="18">
        <f>SUM(I80:I87)</f>
        <v/>
      </c>
      <c r="J88" s="18">
        <f>SUM(J80:J87)</f>
        <v/>
      </c>
      <c r="K88" s="18">
        <f>SUM(K80:K87)</f>
        <v/>
      </c>
      <c r="L88" s="18">
        <f>SUM(L80:L87)</f>
        <v/>
      </c>
      <c r="M88" s="18">
        <f>SUM(M80:M87)</f>
        <v/>
      </c>
      <c r="N88" s="18">
        <f>SUM(N80:N87)</f>
        <v/>
      </c>
      <c r="O88" s="29">
        <f>SUM(C88:N88)</f>
        <v/>
      </c>
    </row>
    <row r="89"/>
    <row r="90"/>
    <row r="91">
      <c r="C91" s="5" t="n">
        <v>2030</v>
      </c>
    </row>
    <row r="92">
      <c r="C92" s="26" t="inlineStr">
        <is>
          <t>Ene</t>
        </is>
      </c>
      <c r="D92" s="26" t="inlineStr">
        <is>
          <t>Feb</t>
        </is>
      </c>
      <c r="E92" s="26" t="inlineStr">
        <is>
          <t>Mar</t>
        </is>
      </c>
      <c r="F92" s="26" t="inlineStr">
        <is>
          <t>Abr</t>
        </is>
      </c>
      <c r="G92" s="26" t="inlineStr">
        <is>
          <t>May</t>
        </is>
      </c>
      <c r="H92" s="26" t="inlineStr">
        <is>
          <t>Jun</t>
        </is>
      </c>
      <c r="I92" s="26" t="inlineStr">
        <is>
          <t>Jul</t>
        </is>
      </c>
      <c r="J92" s="26" t="inlineStr">
        <is>
          <t>Ago</t>
        </is>
      </c>
      <c r="K92" s="26" t="inlineStr">
        <is>
          <t>Sep</t>
        </is>
      </c>
      <c r="L92" s="26" t="inlineStr">
        <is>
          <t>Oct</t>
        </is>
      </c>
      <c r="M92" s="26" t="inlineStr">
        <is>
          <t>Nov</t>
        </is>
      </c>
      <c r="N92" s="26" t="inlineStr">
        <is>
          <t>Dic</t>
        </is>
      </c>
      <c r="O92" s="27" t="inlineStr">
        <is>
          <t>Total 2030</t>
        </is>
      </c>
    </row>
    <row r="93"/>
    <row r="94">
      <c r="B94" s="9" t="inlineStr">
        <is>
          <t>Importe mensual por año (celdas de entrada)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</row>
    <row r="95"/>
    <row r="96">
      <c r="A96" s="20" t="inlineStr">
        <is>
          <t>Infraestructura</t>
        </is>
      </c>
      <c r="B96" s="13" t="inlineStr">
        <is>
          <t>Infraestructura en la nube (base)</t>
        </is>
      </c>
    </row>
    <row r="97">
      <c r="A97" s="20" t="inlineStr">
        <is>
          <t>Infraestructura</t>
        </is>
      </c>
      <c r="B97" s="13" t="inlineStr">
        <is>
          <t>Herramientas y licencias de desarrollo</t>
        </is>
      </c>
    </row>
    <row r="98">
      <c r="A98" s="20" t="inlineStr">
        <is>
          <t>Infraestructura</t>
        </is>
      </c>
      <c r="B98" s="13" t="inlineStr">
        <is>
          <t>Herramientas de IA del equipo</t>
        </is>
      </c>
    </row>
    <row r="99">
      <c r="A99" s="20" t="inlineStr">
        <is>
          <t>Comercial</t>
        </is>
      </c>
      <c r="B99" s="13" t="inlineStr">
        <is>
          <t>Marketing y contenidos</t>
        </is>
      </c>
    </row>
    <row r="100">
      <c r="A100" s="20" t="inlineStr">
        <is>
          <t>Administración</t>
        </is>
      </c>
      <c r="B100" s="13" t="inlineStr">
        <is>
          <t>Estudio contable y legales</t>
        </is>
      </c>
    </row>
    <row r="101">
      <c r="A101" s="20" t="inlineStr">
        <is>
          <t>Operación</t>
        </is>
      </c>
      <c r="B101" s="13" t="inlineStr">
        <is>
          <t>Espacio de trabajo y telefonía</t>
        </is>
      </c>
    </row>
    <row r="102">
      <c r="A102" s="20" t="inlineStr">
        <is>
          <t>Operación</t>
        </is>
      </c>
      <c r="B102" s="13" t="inlineStr">
        <is>
          <t>Conectividad del equipo remoto</t>
        </is>
      </c>
    </row>
    <row r="103">
      <c r="A103" s="20" t="inlineStr">
        <is>
          <t>Operación</t>
        </is>
      </c>
      <c r="B103" s="13" t="inlineStr">
        <is>
          <t>Otros gastos operativos</t>
        </is>
      </c>
    </row>
    <row r="104">
      <c r="B104" s="20" t="inlineStr">
        <is>
          <t>Total mensual</t>
        </is>
      </c>
    </row>
    <row r="105">
      <c r="B105" s="13" t="inlineStr">
        <is>
          <t xml:space="preserve">    del cual se paga al exterior</t>
        </is>
      </c>
    </row>
    <row r="106"/>
    <row r="107">
      <c r="B107" s="9" t="inlineStr">
        <is>
          <t>Desarrollo mensual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</row>
    <row r="108">
      <c r="A108" s="20" t="inlineStr">
        <is>
          <t>Infraestructura</t>
        </is>
      </c>
      <c r="B108" s="13" t="inlineStr">
        <is>
          <t>Infraestructura en la nube (base)</t>
        </is>
      </c>
      <c r="C108" s="28">
        <f>$F$12</f>
        <v/>
      </c>
      <c r="D108" s="28">
        <f>$F$12</f>
        <v/>
      </c>
      <c r="E108" s="28">
        <f>$F$12</f>
        <v/>
      </c>
      <c r="F108" s="28">
        <f>$F$12</f>
        <v/>
      </c>
      <c r="G108" s="28">
        <f>$F$12</f>
        <v/>
      </c>
      <c r="H108" s="28">
        <f>$F$12</f>
        <v/>
      </c>
      <c r="I108" s="28">
        <f>$F$12</f>
        <v/>
      </c>
      <c r="J108" s="28">
        <f>$F$12</f>
        <v/>
      </c>
      <c r="K108" s="28">
        <f>$F$12</f>
        <v/>
      </c>
      <c r="L108" s="28">
        <f>$F$12</f>
        <v/>
      </c>
      <c r="M108" s="28">
        <f>$F$12</f>
        <v/>
      </c>
      <c r="N108" s="28">
        <f>$F$12</f>
        <v/>
      </c>
      <c r="O108" s="29">
        <f>SUM(C108:N108)</f>
        <v/>
      </c>
    </row>
    <row r="109">
      <c r="A109" s="20" t="inlineStr">
        <is>
          <t>Infraestructura</t>
        </is>
      </c>
      <c r="B109" s="13" t="inlineStr">
        <is>
          <t>Herramientas y licencias de desarrollo</t>
        </is>
      </c>
      <c r="C109" s="28">
        <f>$F$13</f>
        <v/>
      </c>
      <c r="D109" s="28">
        <f>$F$13</f>
        <v/>
      </c>
      <c r="E109" s="28">
        <f>$F$13</f>
        <v/>
      </c>
      <c r="F109" s="28">
        <f>$F$13</f>
        <v/>
      </c>
      <c r="G109" s="28">
        <f>$F$13</f>
        <v/>
      </c>
      <c r="H109" s="28">
        <f>$F$13</f>
        <v/>
      </c>
      <c r="I109" s="28">
        <f>$F$13</f>
        <v/>
      </c>
      <c r="J109" s="28">
        <f>$F$13</f>
        <v/>
      </c>
      <c r="K109" s="28">
        <f>$F$13</f>
        <v/>
      </c>
      <c r="L109" s="28">
        <f>$F$13</f>
        <v/>
      </c>
      <c r="M109" s="28">
        <f>$F$13</f>
        <v/>
      </c>
      <c r="N109" s="28">
        <f>$F$13</f>
        <v/>
      </c>
      <c r="O109" s="29">
        <f>SUM(C109:N109)</f>
        <v/>
      </c>
    </row>
    <row r="110">
      <c r="A110" s="20" t="inlineStr">
        <is>
          <t>Infraestructura</t>
        </is>
      </c>
      <c r="B110" s="13" t="inlineStr">
        <is>
          <t>Herramientas de IA del equipo</t>
        </is>
      </c>
      <c r="C110" s="28">
        <f>$F$14</f>
        <v/>
      </c>
      <c r="D110" s="28">
        <f>$F$14</f>
        <v/>
      </c>
      <c r="E110" s="28">
        <f>$F$14</f>
        <v/>
      </c>
      <c r="F110" s="28">
        <f>$F$14</f>
        <v/>
      </c>
      <c r="G110" s="28">
        <f>$F$14</f>
        <v/>
      </c>
      <c r="H110" s="28">
        <f>$F$14</f>
        <v/>
      </c>
      <c r="I110" s="28">
        <f>$F$14</f>
        <v/>
      </c>
      <c r="J110" s="28">
        <f>$F$14</f>
        <v/>
      </c>
      <c r="K110" s="28">
        <f>$F$14</f>
        <v/>
      </c>
      <c r="L110" s="28">
        <f>$F$14</f>
        <v/>
      </c>
      <c r="M110" s="28">
        <f>$F$14</f>
        <v/>
      </c>
      <c r="N110" s="28">
        <f>$F$14</f>
        <v/>
      </c>
      <c r="O110" s="29">
        <f>SUM(C110:N110)</f>
        <v/>
      </c>
    </row>
    <row r="111">
      <c r="A111" s="20" t="inlineStr">
        <is>
          <t>Comercial</t>
        </is>
      </c>
      <c r="B111" s="13" t="inlineStr">
        <is>
          <t>Marketing y contenidos</t>
        </is>
      </c>
      <c r="C111" s="28">
        <f>$F$15</f>
        <v/>
      </c>
      <c r="D111" s="28">
        <f>$F$15</f>
        <v/>
      </c>
      <c r="E111" s="28">
        <f>$F$15</f>
        <v/>
      </c>
      <c r="F111" s="28">
        <f>$F$15</f>
        <v/>
      </c>
      <c r="G111" s="28">
        <f>$F$15</f>
        <v/>
      </c>
      <c r="H111" s="28">
        <f>$F$15</f>
        <v/>
      </c>
      <c r="I111" s="28">
        <f>$F$15</f>
        <v/>
      </c>
      <c r="J111" s="28">
        <f>$F$15</f>
        <v/>
      </c>
      <c r="K111" s="28">
        <f>$F$15</f>
        <v/>
      </c>
      <c r="L111" s="28">
        <f>$F$15</f>
        <v/>
      </c>
      <c r="M111" s="28">
        <f>$F$15</f>
        <v/>
      </c>
      <c r="N111" s="28">
        <f>$F$15</f>
        <v/>
      </c>
      <c r="O111" s="29">
        <f>SUM(C111:N111)</f>
        <v/>
      </c>
    </row>
    <row r="112">
      <c r="A112" s="20" t="inlineStr">
        <is>
          <t>Administración</t>
        </is>
      </c>
      <c r="B112" s="13" t="inlineStr">
        <is>
          <t>Estudio contable y legales</t>
        </is>
      </c>
      <c r="C112" s="28">
        <f>$F$16</f>
        <v/>
      </c>
      <c r="D112" s="28">
        <f>$F$16</f>
        <v/>
      </c>
      <c r="E112" s="28">
        <f>$F$16</f>
        <v/>
      </c>
      <c r="F112" s="28">
        <f>$F$16</f>
        <v/>
      </c>
      <c r="G112" s="28">
        <f>$F$16</f>
        <v/>
      </c>
      <c r="H112" s="28">
        <f>$F$16</f>
        <v/>
      </c>
      <c r="I112" s="28">
        <f>$F$16</f>
        <v/>
      </c>
      <c r="J112" s="28">
        <f>$F$16</f>
        <v/>
      </c>
      <c r="K112" s="28">
        <f>$F$16</f>
        <v/>
      </c>
      <c r="L112" s="28">
        <f>$F$16</f>
        <v/>
      </c>
      <c r="M112" s="28">
        <f>$F$16</f>
        <v/>
      </c>
      <c r="N112" s="28">
        <f>$F$16</f>
        <v/>
      </c>
      <c r="O112" s="29">
        <f>SUM(C112:N112)</f>
        <v/>
      </c>
    </row>
    <row r="113">
      <c r="A113" s="20" t="inlineStr">
        <is>
          <t>Operación</t>
        </is>
      </c>
      <c r="B113" s="13" t="inlineStr">
        <is>
          <t>Espacio de trabajo y telefonía</t>
        </is>
      </c>
      <c r="C113" s="28">
        <f>$F$17</f>
        <v/>
      </c>
      <c r="D113" s="28">
        <f>$F$17</f>
        <v/>
      </c>
      <c r="E113" s="28">
        <f>$F$17</f>
        <v/>
      </c>
      <c r="F113" s="28">
        <f>$F$17</f>
        <v/>
      </c>
      <c r="G113" s="28">
        <f>$F$17</f>
        <v/>
      </c>
      <c r="H113" s="28">
        <f>$F$17</f>
        <v/>
      </c>
      <c r="I113" s="28">
        <f>$F$17</f>
        <v/>
      </c>
      <c r="J113" s="28">
        <f>$F$17</f>
        <v/>
      </c>
      <c r="K113" s="28">
        <f>$F$17</f>
        <v/>
      </c>
      <c r="L113" s="28">
        <f>$F$17</f>
        <v/>
      </c>
      <c r="M113" s="28">
        <f>$F$17</f>
        <v/>
      </c>
      <c r="N113" s="28">
        <f>$F$17</f>
        <v/>
      </c>
      <c r="O113" s="29">
        <f>SUM(C113:N113)</f>
        <v/>
      </c>
    </row>
    <row r="114">
      <c r="A114" s="20" t="inlineStr">
        <is>
          <t>Operación</t>
        </is>
      </c>
      <c r="B114" s="13" t="inlineStr">
        <is>
          <t>Conectividad del equipo remoto</t>
        </is>
      </c>
      <c r="C114" s="28">
        <f>$F$18</f>
        <v/>
      </c>
      <c r="D114" s="28">
        <f>$F$18</f>
        <v/>
      </c>
      <c r="E114" s="28">
        <f>$F$18</f>
        <v/>
      </c>
      <c r="F114" s="28">
        <f>$F$18</f>
        <v/>
      </c>
      <c r="G114" s="28">
        <f>$F$18</f>
        <v/>
      </c>
      <c r="H114" s="28">
        <f>$F$18</f>
        <v/>
      </c>
      <c r="I114" s="28">
        <f>$F$18</f>
        <v/>
      </c>
      <c r="J114" s="28">
        <f>$F$18</f>
        <v/>
      </c>
      <c r="K114" s="28">
        <f>$F$18</f>
        <v/>
      </c>
      <c r="L114" s="28">
        <f>$F$18</f>
        <v/>
      </c>
      <c r="M114" s="28">
        <f>$F$18</f>
        <v/>
      </c>
      <c r="N114" s="28">
        <f>$F$18</f>
        <v/>
      </c>
      <c r="O114" s="29">
        <f>SUM(C114:N114)</f>
        <v/>
      </c>
    </row>
    <row r="115">
      <c r="A115" s="20" t="inlineStr">
        <is>
          <t>Operación</t>
        </is>
      </c>
      <c r="B115" s="13" t="inlineStr">
        <is>
          <t>Otros gastos operativos</t>
        </is>
      </c>
      <c r="C115" s="28">
        <f>$F$19</f>
        <v/>
      </c>
      <c r="D115" s="28">
        <f>$F$19</f>
        <v/>
      </c>
      <c r="E115" s="28">
        <f>$F$19</f>
        <v/>
      </c>
      <c r="F115" s="28">
        <f>$F$19</f>
        <v/>
      </c>
      <c r="G115" s="28">
        <f>$F$19</f>
        <v/>
      </c>
      <c r="H115" s="28">
        <f>$F$19</f>
        <v/>
      </c>
      <c r="I115" s="28">
        <f>$F$19</f>
        <v/>
      </c>
      <c r="J115" s="28">
        <f>$F$19</f>
        <v/>
      </c>
      <c r="K115" s="28">
        <f>$F$19</f>
        <v/>
      </c>
      <c r="L115" s="28">
        <f>$F$19</f>
        <v/>
      </c>
      <c r="M115" s="28">
        <f>$F$19</f>
        <v/>
      </c>
      <c r="N115" s="28">
        <f>$F$19</f>
        <v/>
      </c>
      <c r="O115" s="29">
        <f>SUM(C115:N115)</f>
        <v/>
      </c>
    </row>
    <row r="116">
      <c r="A116" s="20" t="inlineStr">
        <is>
          <t>COSTOS FIJOS</t>
        </is>
      </c>
      <c r="B116" s="20" t="inlineStr">
        <is>
          <t>Total de costos fijos</t>
        </is>
      </c>
      <c r="C116" s="18">
        <f>SUM(C108:C115)</f>
        <v/>
      </c>
      <c r="D116" s="18">
        <f>SUM(D108:D115)</f>
        <v/>
      </c>
      <c r="E116" s="18">
        <f>SUM(E108:E115)</f>
        <v/>
      </c>
      <c r="F116" s="18">
        <f>SUM(F108:F115)</f>
        <v/>
      </c>
      <c r="G116" s="18">
        <f>SUM(G108:G115)</f>
        <v/>
      </c>
      <c r="H116" s="18">
        <f>SUM(H108:H115)</f>
        <v/>
      </c>
      <c r="I116" s="18">
        <f>SUM(I108:I115)</f>
        <v/>
      </c>
      <c r="J116" s="18">
        <f>SUM(J108:J115)</f>
        <v/>
      </c>
      <c r="K116" s="18">
        <f>SUM(K108:K115)</f>
        <v/>
      </c>
      <c r="L116" s="18">
        <f>SUM(L108:L115)</f>
        <v/>
      </c>
      <c r="M116" s="18">
        <f>SUM(M108:M115)</f>
        <v/>
      </c>
      <c r="N116" s="18">
        <f>SUM(N108:N115)</f>
        <v/>
      </c>
      <c r="O116" s="29">
        <f>SUM(C116:N116)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U46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8" t="inlineStr">
        <is>
          <t>COSTOS VARIABLES</t>
        </is>
      </c>
    </row>
    <row r="3">
      <c r="B3" s="3" t="inlineStr">
        <is>
          <t>Se mueven con cada cliente. Los importes unitarios salen de la sección 6.5.3 del documento y se toman de la hoja Planes, para que no haya dos versiones del mismo número. Cada concepto se ajusta por el índice que le corresponde: los dos que se pagan en dólares siguen al tipo de cambio y el soporte, que es trabajo local, sigue a los salarios.</t>
        </is>
      </c>
      <c r="Q3" s="5" t="inlineStr">
        <is>
          <t>Resumen anual</t>
        </is>
      </c>
    </row>
    <row r="4">
      <c r="Q4" s="3" t="inlineStr">
        <is>
          <t>Los totales de cada año, que son los que alimentan el gráfico.</t>
        </is>
      </c>
    </row>
    <row r="5">
      <c r="Q5" s="20" t="inlineStr">
        <is>
          <t>Concepto</t>
        </is>
      </c>
      <c r="R5" s="11" t="n">
        <v>2027</v>
      </c>
      <c r="S5" s="11" t="n">
        <v>2028</v>
      </c>
      <c r="T5" s="11" t="n">
        <v>2029</v>
      </c>
      <c r="U5" s="11" t="n">
        <v>2030</v>
      </c>
    </row>
    <row r="6">
      <c r="Q6" s="13" t="inlineStr">
        <is>
          <t>Infraestructura en la nube</t>
        </is>
      </c>
      <c r="R6" s="28">
        <f>O11</f>
        <v/>
      </c>
      <c r="S6" s="28">
        <f>O21</f>
        <v/>
      </c>
      <c r="T6" s="28">
        <f>O31</f>
        <v/>
      </c>
      <c r="U6" s="28">
        <f>O41</f>
        <v/>
      </c>
    </row>
    <row r="7">
      <c r="C7" s="5" t="n">
        <v>2027</v>
      </c>
      <c r="Q7" s="13" t="inlineStr">
        <is>
          <t>Soporte</t>
        </is>
      </c>
      <c r="R7" s="28">
        <f>O12</f>
        <v/>
      </c>
      <c r="S7" s="28">
        <f>O22</f>
        <v/>
      </c>
      <c r="T7" s="28">
        <f>O32</f>
        <v/>
      </c>
      <c r="U7" s="28">
        <f>O42</f>
        <v/>
      </c>
    </row>
    <row r="8">
      <c r="C8" s="26" t="inlineStr">
        <is>
          <t>Ene</t>
        </is>
      </c>
      <c r="D8" s="26" t="inlineStr">
        <is>
          <t>Feb</t>
        </is>
      </c>
      <c r="E8" s="26" t="inlineStr">
        <is>
          <t>Mar</t>
        </is>
      </c>
      <c r="F8" s="26" t="inlineStr">
        <is>
          <t>Abr</t>
        </is>
      </c>
      <c r="G8" s="26" t="inlineStr">
        <is>
          <t>May</t>
        </is>
      </c>
      <c r="H8" s="26" t="inlineStr">
        <is>
          <t>Jun</t>
        </is>
      </c>
      <c r="I8" s="26" t="inlineStr">
        <is>
          <t>Jul</t>
        </is>
      </c>
      <c r="J8" s="26" t="inlineStr">
        <is>
          <t>Ago</t>
        </is>
      </c>
      <c r="K8" s="26" t="inlineStr">
        <is>
          <t>Sep</t>
        </is>
      </c>
      <c r="L8" s="26" t="inlineStr">
        <is>
          <t>Oct</t>
        </is>
      </c>
      <c r="M8" s="26" t="inlineStr">
        <is>
          <t>Nov</t>
        </is>
      </c>
      <c r="N8" s="26" t="inlineStr">
        <is>
          <t>Dic</t>
        </is>
      </c>
      <c r="O8" s="27" t="inlineStr">
        <is>
          <t>Total 2027</t>
        </is>
      </c>
      <c r="Q8" s="13" t="inlineStr">
        <is>
          <t>Servicio externo de IA</t>
        </is>
      </c>
      <c r="R8" s="28">
        <f>O13</f>
        <v/>
      </c>
      <c r="S8" s="28">
        <f>O23</f>
        <v/>
      </c>
      <c r="T8" s="28">
        <f>O33</f>
        <v/>
      </c>
      <c r="U8" s="28">
        <f>O43</f>
        <v/>
      </c>
    </row>
    <row r="9"/>
    <row r="10">
      <c r="B10" s="9" t="inlineStr">
        <is>
          <t>Por concepto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20" t="inlineStr">
        <is>
          <t>VARIABLES</t>
        </is>
      </c>
      <c r="B11" s="13" t="inlineStr">
        <is>
          <t>Infraestructura por cliente (sigue al dólar)</t>
        </is>
      </c>
      <c r="C11" s="28">
        <f>('Proyección de ventas'!C20*Planes!$G$7+'Proyección de ventas'!C26*Planes!$G$8+'Proyección de ventas'!C30*Planes!$G$9)*1</f>
        <v/>
      </c>
      <c r="D11" s="28">
        <f>('Proyección de ventas'!D20*Planes!$G$7+'Proyección de ventas'!D26*Planes!$G$8+'Proyección de ventas'!D30*Planes!$G$9)*1</f>
        <v/>
      </c>
      <c r="E11" s="28">
        <f>('Proyección de ventas'!E20*Planes!$G$7+'Proyección de ventas'!E26*Planes!$G$8+'Proyección de ventas'!E30*Planes!$G$9)*1</f>
        <v/>
      </c>
      <c r="F11" s="28">
        <f>('Proyección de ventas'!F20*Planes!$G$7+'Proyección de ventas'!F26*Planes!$G$8+'Proyección de ventas'!F30*Planes!$G$9)*1</f>
        <v/>
      </c>
      <c r="G11" s="28">
        <f>('Proyección de ventas'!G20*Planes!$G$7+'Proyección de ventas'!G26*Planes!$G$8+'Proyección de ventas'!G30*Planes!$G$9)*1</f>
        <v/>
      </c>
      <c r="H11" s="28">
        <f>('Proyección de ventas'!H20*Planes!$G$7+'Proyección de ventas'!H26*Planes!$G$8+'Proyección de ventas'!H30*Planes!$G$9)*1</f>
        <v/>
      </c>
      <c r="I11" s="28">
        <f>('Proyección de ventas'!I20*Planes!$G$7+'Proyección de ventas'!I26*Planes!$G$8+'Proyección de ventas'!I30*Planes!$G$9)*1</f>
        <v/>
      </c>
      <c r="J11" s="28">
        <f>('Proyección de ventas'!J20*Planes!$G$7+'Proyección de ventas'!J26*Planes!$G$8+'Proyección de ventas'!J30*Planes!$G$9)*1</f>
        <v/>
      </c>
      <c r="K11" s="28">
        <f>('Proyección de ventas'!K20*Planes!$G$7+'Proyección de ventas'!K26*Planes!$G$8+'Proyección de ventas'!K30*Planes!$G$9)*1</f>
        <v/>
      </c>
      <c r="L11" s="28">
        <f>('Proyección de ventas'!L20*Planes!$G$7+'Proyección de ventas'!L26*Planes!$G$8+'Proyección de ventas'!L30*Planes!$G$9)*1</f>
        <v/>
      </c>
      <c r="M11" s="28">
        <f>('Proyección de ventas'!M20*Planes!$G$7+'Proyección de ventas'!M26*Planes!$G$8+'Proyección de ventas'!M30*Planes!$G$9)*1</f>
        <v/>
      </c>
      <c r="N11" s="28">
        <f>('Proyección de ventas'!N20*Planes!$G$7+'Proyección de ventas'!N26*Planes!$G$8+'Proyección de ventas'!N30*Planes!$G$9)*1</f>
        <v/>
      </c>
      <c r="O11" s="29">
        <f>SUM(C11:N11)</f>
        <v/>
      </c>
    </row>
    <row r="12">
      <c r="B12" s="13" t="inlineStr">
        <is>
          <t>Soporte y onboarding por cliente (sigue a los salarios)</t>
        </is>
      </c>
      <c r="C12" s="28">
        <f>('Proyección de ventas'!C20*Planes!$H$7+'Proyección de ventas'!C26*Planes!$H$8+'Proyección de ventas'!C30*Planes!$H$9)*1</f>
        <v/>
      </c>
      <c r="D12" s="28">
        <f>('Proyección de ventas'!D20*Planes!$H$7+'Proyección de ventas'!D26*Planes!$H$8+'Proyección de ventas'!D30*Planes!$H$9)*1</f>
        <v/>
      </c>
      <c r="E12" s="28">
        <f>('Proyección de ventas'!E20*Planes!$H$7+'Proyección de ventas'!E26*Planes!$H$8+'Proyección de ventas'!E30*Planes!$H$9)*1</f>
        <v/>
      </c>
      <c r="F12" s="28">
        <f>('Proyección de ventas'!F20*Planes!$H$7+'Proyección de ventas'!F26*Planes!$H$8+'Proyección de ventas'!F30*Planes!$H$9)*1</f>
        <v/>
      </c>
      <c r="G12" s="28">
        <f>('Proyección de ventas'!G20*Planes!$H$7+'Proyección de ventas'!G26*Planes!$H$8+'Proyección de ventas'!G30*Planes!$H$9)*1</f>
        <v/>
      </c>
      <c r="H12" s="28">
        <f>('Proyección de ventas'!H20*Planes!$H$7+'Proyección de ventas'!H26*Planes!$H$8+'Proyección de ventas'!H30*Planes!$H$9)*1</f>
        <v/>
      </c>
      <c r="I12" s="28">
        <f>('Proyección de ventas'!I20*Planes!$H$7+'Proyección de ventas'!I26*Planes!$H$8+'Proyección de ventas'!I30*Planes!$H$9)*1</f>
        <v/>
      </c>
      <c r="J12" s="28">
        <f>('Proyección de ventas'!J20*Planes!$H$7+'Proyección de ventas'!J26*Planes!$H$8+'Proyección de ventas'!J30*Planes!$H$9)*1</f>
        <v/>
      </c>
      <c r="K12" s="28">
        <f>('Proyección de ventas'!K20*Planes!$H$7+'Proyección de ventas'!K26*Planes!$H$8+'Proyección de ventas'!K30*Planes!$H$9)*1</f>
        <v/>
      </c>
      <c r="L12" s="28">
        <f>('Proyección de ventas'!L20*Planes!$H$7+'Proyección de ventas'!L26*Planes!$H$8+'Proyección de ventas'!L30*Planes!$H$9)*1</f>
        <v/>
      </c>
      <c r="M12" s="28">
        <f>('Proyección de ventas'!M20*Planes!$H$7+'Proyección de ventas'!M26*Planes!$H$8+'Proyección de ventas'!M30*Planes!$H$9)*1</f>
        <v/>
      </c>
      <c r="N12" s="28">
        <f>('Proyección de ventas'!N20*Planes!$H$7+'Proyección de ventas'!N26*Planes!$H$8+'Proyección de ventas'!N30*Planes!$H$9)*1</f>
        <v/>
      </c>
      <c r="O12" s="29">
        <f>SUM(C12:N12)</f>
        <v/>
      </c>
    </row>
    <row r="13">
      <c r="B13" s="13" t="inlineStr">
        <is>
          <t>Servicio externo de inteligencia artificial (sigue al dólar)</t>
        </is>
      </c>
      <c r="C13" s="28">
        <f>('Proyección de ventas'!C20*Planes!$I$7+'Proyección de ventas'!C26*Planes!$I$8+'Proyección de ventas'!C30*Planes!$I$9)*1</f>
        <v/>
      </c>
      <c r="D13" s="28">
        <f>('Proyección de ventas'!D20*Planes!$I$7+'Proyección de ventas'!D26*Planes!$I$8+'Proyección de ventas'!D30*Planes!$I$9)*1</f>
        <v/>
      </c>
      <c r="E13" s="28">
        <f>('Proyección de ventas'!E20*Planes!$I$7+'Proyección de ventas'!E26*Planes!$I$8+'Proyección de ventas'!E30*Planes!$I$9)*1</f>
        <v/>
      </c>
      <c r="F13" s="28">
        <f>('Proyección de ventas'!F20*Planes!$I$7+'Proyección de ventas'!F26*Planes!$I$8+'Proyección de ventas'!F30*Planes!$I$9)*1</f>
        <v/>
      </c>
      <c r="G13" s="28">
        <f>('Proyección de ventas'!G20*Planes!$I$7+'Proyección de ventas'!G26*Planes!$I$8+'Proyección de ventas'!G30*Planes!$I$9)*1</f>
        <v/>
      </c>
      <c r="H13" s="28">
        <f>('Proyección de ventas'!H20*Planes!$I$7+'Proyección de ventas'!H26*Planes!$I$8+'Proyección de ventas'!H30*Planes!$I$9)*1</f>
        <v/>
      </c>
      <c r="I13" s="28">
        <f>('Proyección de ventas'!I20*Planes!$I$7+'Proyección de ventas'!I26*Planes!$I$8+'Proyección de ventas'!I30*Planes!$I$9)*1</f>
        <v/>
      </c>
      <c r="J13" s="28">
        <f>('Proyección de ventas'!J20*Planes!$I$7+'Proyección de ventas'!J26*Planes!$I$8+'Proyección de ventas'!J30*Planes!$I$9)*1</f>
        <v/>
      </c>
      <c r="K13" s="28">
        <f>('Proyección de ventas'!K20*Planes!$I$7+'Proyección de ventas'!K26*Planes!$I$8+'Proyección de ventas'!K30*Planes!$I$9)*1</f>
        <v/>
      </c>
      <c r="L13" s="28">
        <f>('Proyección de ventas'!L20*Planes!$I$7+'Proyección de ventas'!L26*Planes!$I$8+'Proyección de ventas'!L30*Planes!$I$9)*1</f>
        <v/>
      </c>
      <c r="M13" s="28">
        <f>('Proyección de ventas'!M20*Planes!$I$7+'Proyección de ventas'!M26*Planes!$I$8+'Proyección de ventas'!M30*Planes!$I$9)*1</f>
        <v/>
      </c>
      <c r="N13" s="28">
        <f>('Proyección de ventas'!N20*Planes!$I$7+'Proyección de ventas'!N26*Planes!$I$8+'Proyección de ventas'!N30*Planes!$I$9)*1</f>
        <v/>
      </c>
      <c r="O13" s="29">
        <f>SUM(C13:N13)</f>
        <v/>
      </c>
    </row>
    <row r="14">
      <c r="B14" s="20" t="inlineStr">
        <is>
          <t>Total de costos variables</t>
        </is>
      </c>
      <c r="C14" s="18">
        <f>SUM(C11:C13)</f>
        <v/>
      </c>
      <c r="D14" s="18">
        <f>SUM(D11:D13)</f>
        <v/>
      </c>
      <c r="E14" s="18">
        <f>SUM(E11:E13)</f>
        <v/>
      </c>
      <c r="F14" s="18">
        <f>SUM(F11:F13)</f>
        <v/>
      </c>
      <c r="G14" s="18">
        <f>SUM(G11:G13)</f>
        <v/>
      </c>
      <c r="H14" s="18">
        <f>SUM(H11:H13)</f>
        <v/>
      </c>
      <c r="I14" s="18">
        <f>SUM(I11:I13)</f>
        <v/>
      </c>
      <c r="J14" s="18">
        <f>SUM(J11:J13)</f>
        <v/>
      </c>
      <c r="K14" s="18">
        <f>SUM(K11:K13)</f>
        <v/>
      </c>
      <c r="L14" s="18">
        <f>SUM(L11:L13)</f>
        <v/>
      </c>
      <c r="M14" s="18">
        <f>SUM(M11:M13)</f>
        <v/>
      </c>
      <c r="N14" s="18">
        <f>SUM(N11:N13)</f>
        <v/>
      </c>
      <c r="O14" s="29">
        <f>SUM(C14:N14)</f>
        <v/>
      </c>
    </row>
    <row r="15"/>
    <row r="16">
      <c r="B16" s="3" t="n"/>
    </row>
    <row r="17">
      <c r="C17" s="5" t="n">
        <v>2028</v>
      </c>
    </row>
    <row r="18">
      <c r="C18" s="26" t="inlineStr">
        <is>
          <t>Ene</t>
        </is>
      </c>
      <c r="D18" s="26" t="inlineStr">
        <is>
          <t>Feb</t>
        </is>
      </c>
      <c r="E18" s="26" t="inlineStr">
        <is>
          <t>Mar</t>
        </is>
      </c>
      <c r="F18" s="26" t="inlineStr">
        <is>
          <t>Abr</t>
        </is>
      </c>
      <c r="G18" s="26" t="inlineStr">
        <is>
          <t>May</t>
        </is>
      </c>
      <c r="H18" s="26" t="inlineStr">
        <is>
          <t>Jun</t>
        </is>
      </c>
      <c r="I18" s="26" t="inlineStr">
        <is>
          <t>Jul</t>
        </is>
      </c>
      <c r="J18" s="26" t="inlineStr">
        <is>
          <t>Ago</t>
        </is>
      </c>
      <c r="K18" s="26" t="inlineStr">
        <is>
          <t>Sep</t>
        </is>
      </c>
      <c r="L18" s="26" t="inlineStr">
        <is>
          <t>Oct</t>
        </is>
      </c>
      <c r="M18" s="26" t="inlineStr">
        <is>
          <t>Nov</t>
        </is>
      </c>
      <c r="N18" s="26" t="inlineStr">
        <is>
          <t>Dic</t>
        </is>
      </c>
      <c r="O18" s="27" t="inlineStr">
        <is>
          <t>Total 2028</t>
        </is>
      </c>
    </row>
    <row r="19"/>
    <row r="20">
      <c r="B20" s="9" t="inlineStr">
        <is>
          <t>Por concepto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20" t="inlineStr">
        <is>
          <t>VARIABLES</t>
        </is>
      </c>
      <c r="B21" s="13" t="inlineStr">
        <is>
          <t>Infraestructura por cliente (sigue al dólar)</t>
        </is>
      </c>
      <c r="C21" s="28">
        <f>('Proyección de ventas'!C50*Planes!$G$7+'Proyección de ventas'!C56*Planes!$G$8+'Proyección de ventas'!C60*Planes!$G$9)*Hipótesis!$D$9/Hipótesis!$C$9</f>
        <v/>
      </c>
      <c r="D21" s="28">
        <f>('Proyección de ventas'!D50*Planes!$G$7+'Proyección de ventas'!D56*Planes!$G$8+'Proyección de ventas'!D60*Planes!$G$9)*Hipótesis!$D$9/Hipótesis!$C$9</f>
        <v/>
      </c>
      <c r="E21" s="28">
        <f>('Proyección de ventas'!E50*Planes!$G$7+'Proyección de ventas'!E56*Planes!$G$8+'Proyección de ventas'!E60*Planes!$G$9)*Hipótesis!$D$9/Hipótesis!$C$9</f>
        <v/>
      </c>
      <c r="F21" s="28">
        <f>('Proyección de ventas'!F50*Planes!$G$7+'Proyección de ventas'!F56*Planes!$G$8+'Proyección de ventas'!F60*Planes!$G$9)*Hipótesis!$D$9/Hipótesis!$C$9</f>
        <v/>
      </c>
      <c r="G21" s="28">
        <f>('Proyección de ventas'!G50*Planes!$G$7+'Proyección de ventas'!G56*Planes!$G$8+'Proyección de ventas'!G60*Planes!$G$9)*Hipótesis!$D$9/Hipótesis!$C$9</f>
        <v/>
      </c>
      <c r="H21" s="28">
        <f>('Proyección de ventas'!H50*Planes!$G$7+'Proyección de ventas'!H56*Planes!$G$8+'Proyección de ventas'!H60*Planes!$G$9)*Hipótesis!$D$9/Hipótesis!$C$9</f>
        <v/>
      </c>
      <c r="I21" s="28">
        <f>('Proyección de ventas'!I50*Planes!$G$7+'Proyección de ventas'!I56*Planes!$G$8+'Proyección de ventas'!I60*Planes!$G$9)*Hipótesis!$D$9/Hipótesis!$C$9</f>
        <v/>
      </c>
      <c r="J21" s="28">
        <f>('Proyección de ventas'!J50*Planes!$G$7+'Proyección de ventas'!J56*Planes!$G$8+'Proyección de ventas'!J60*Planes!$G$9)*Hipótesis!$D$9/Hipótesis!$C$9</f>
        <v/>
      </c>
      <c r="K21" s="28">
        <f>('Proyección de ventas'!K50*Planes!$G$7+'Proyección de ventas'!K56*Planes!$G$8+'Proyección de ventas'!K60*Planes!$G$9)*Hipótesis!$D$9/Hipótesis!$C$9</f>
        <v/>
      </c>
      <c r="L21" s="28">
        <f>('Proyección de ventas'!L50*Planes!$G$7+'Proyección de ventas'!L56*Planes!$G$8+'Proyección de ventas'!L60*Planes!$G$9)*Hipótesis!$D$9/Hipótesis!$C$9</f>
        <v/>
      </c>
      <c r="M21" s="28">
        <f>('Proyección de ventas'!M50*Planes!$G$7+'Proyección de ventas'!M56*Planes!$G$8+'Proyección de ventas'!M60*Planes!$G$9)*Hipótesis!$D$9/Hipótesis!$C$9</f>
        <v/>
      </c>
      <c r="N21" s="28">
        <f>('Proyección de ventas'!N50*Planes!$G$7+'Proyección de ventas'!N56*Planes!$G$8+'Proyección de ventas'!N60*Planes!$G$9)*Hipótesis!$D$9/Hipótesis!$C$9</f>
        <v/>
      </c>
      <c r="O21" s="29">
        <f>SUM(C21:N21)</f>
        <v/>
      </c>
    </row>
    <row r="22">
      <c r="B22" s="13" t="inlineStr">
        <is>
          <t>Soporte y onboarding por cliente (sigue a los salarios)</t>
        </is>
      </c>
      <c r="C22" s="28">
        <f>('Proyección de ventas'!C50*Planes!$H$7+'Proyección de ventas'!C56*Planes!$H$8+'Proyección de ventas'!C60*Planes!$H$9)*(1+Hipótesis!$D$14)</f>
        <v/>
      </c>
      <c r="D22" s="28">
        <f>('Proyección de ventas'!D50*Planes!$H$7+'Proyección de ventas'!D56*Planes!$H$8+'Proyección de ventas'!D60*Planes!$H$9)*(1+Hipótesis!$D$14)</f>
        <v/>
      </c>
      <c r="E22" s="28">
        <f>('Proyección de ventas'!E50*Planes!$H$7+'Proyección de ventas'!E56*Planes!$H$8+'Proyección de ventas'!E60*Planes!$H$9)*(1+Hipótesis!$D$14)</f>
        <v/>
      </c>
      <c r="F22" s="28">
        <f>('Proyección de ventas'!F50*Planes!$H$7+'Proyección de ventas'!F56*Planes!$H$8+'Proyección de ventas'!F60*Planes!$H$9)*(1+Hipótesis!$D$14)</f>
        <v/>
      </c>
      <c r="G22" s="28">
        <f>('Proyección de ventas'!G50*Planes!$H$7+'Proyección de ventas'!G56*Planes!$H$8+'Proyección de ventas'!G60*Planes!$H$9)*(1+Hipótesis!$D$14)</f>
        <v/>
      </c>
      <c r="H22" s="28">
        <f>('Proyección de ventas'!H50*Planes!$H$7+'Proyección de ventas'!H56*Planes!$H$8+'Proyección de ventas'!H60*Planes!$H$9)*(1+Hipótesis!$D$14)</f>
        <v/>
      </c>
      <c r="I22" s="28">
        <f>('Proyección de ventas'!I50*Planes!$H$7+'Proyección de ventas'!I56*Planes!$H$8+'Proyección de ventas'!I60*Planes!$H$9)*(1+Hipótesis!$D$14)</f>
        <v/>
      </c>
      <c r="J22" s="28">
        <f>('Proyección de ventas'!J50*Planes!$H$7+'Proyección de ventas'!J56*Planes!$H$8+'Proyección de ventas'!J60*Planes!$H$9)*(1+Hipótesis!$D$14)</f>
        <v/>
      </c>
      <c r="K22" s="28">
        <f>('Proyección de ventas'!K50*Planes!$H$7+'Proyección de ventas'!K56*Planes!$H$8+'Proyección de ventas'!K60*Planes!$H$9)*(1+Hipótesis!$D$14)</f>
        <v/>
      </c>
      <c r="L22" s="28">
        <f>('Proyección de ventas'!L50*Planes!$H$7+'Proyección de ventas'!L56*Planes!$H$8+'Proyección de ventas'!L60*Planes!$H$9)*(1+Hipótesis!$D$14)</f>
        <v/>
      </c>
      <c r="M22" s="28">
        <f>('Proyección de ventas'!M50*Planes!$H$7+'Proyección de ventas'!M56*Planes!$H$8+'Proyección de ventas'!M60*Planes!$H$9)*(1+Hipótesis!$D$14)</f>
        <v/>
      </c>
      <c r="N22" s="28">
        <f>('Proyección de ventas'!N50*Planes!$H$7+'Proyección de ventas'!N56*Planes!$H$8+'Proyección de ventas'!N60*Planes!$H$9)*(1+Hipótesis!$D$14)</f>
        <v/>
      </c>
      <c r="O22" s="29">
        <f>SUM(C22:N22)</f>
        <v/>
      </c>
    </row>
    <row r="23">
      <c r="B23" s="13" t="inlineStr">
        <is>
          <t>Servicio externo de inteligencia artificial (sigue al dólar)</t>
        </is>
      </c>
      <c r="C23" s="28">
        <f>('Proyección de ventas'!C50*Planes!$I$7+'Proyección de ventas'!C56*Planes!$I$8+'Proyección de ventas'!C60*Planes!$I$9)*Hipótesis!$D$9/Hipótesis!$C$9</f>
        <v/>
      </c>
      <c r="D23" s="28">
        <f>('Proyección de ventas'!D50*Planes!$I$7+'Proyección de ventas'!D56*Planes!$I$8+'Proyección de ventas'!D60*Planes!$I$9)*Hipótesis!$D$9/Hipótesis!$C$9</f>
        <v/>
      </c>
      <c r="E23" s="28">
        <f>('Proyección de ventas'!E50*Planes!$I$7+'Proyección de ventas'!E56*Planes!$I$8+'Proyección de ventas'!E60*Planes!$I$9)*Hipótesis!$D$9/Hipótesis!$C$9</f>
        <v/>
      </c>
      <c r="F23" s="28">
        <f>('Proyección de ventas'!F50*Planes!$I$7+'Proyección de ventas'!F56*Planes!$I$8+'Proyección de ventas'!F60*Planes!$I$9)*Hipótesis!$D$9/Hipótesis!$C$9</f>
        <v/>
      </c>
      <c r="G23" s="28">
        <f>('Proyección de ventas'!G50*Planes!$I$7+'Proyección de ventas'!G56*Planes!$I$8+'Proyección de ventas'!G60*Planes!$I$9)*Hipótesis!$D$9/Hipótesis!$C$9</f>
        <v/>
      </c>
      <c r="H23" s="28">
        <f>('Proyección de ventas'!H50*Planes!$I$7+'Proyección de ventas'!H56*Planes!$I$8+'Proyección de ventas'!H60*Planes!$I$9)*Hipótesis!$D$9/Hipótesis!$C$9</f>
        <v/>
      </c>
      <c r="I23" s="28">
        <f>('Proyección de ventas'!I50*Planes!$I$7+'Proyección de ventas'!I56*Planes!$I$8+'Proyección de ventas'!I60*Planes!$I$9)*Hipótesis!$D$9/Hipótesis!$C$9</f>
        <v/>
      </c>
      <c r="J23" s="28">
        <f>('Proyección de ventas'!J50*Planes!$I$7+'Proyección de ventas'!J56*Planes!$I$8+'Proyección de ventas'!J60*Planes!$I$9)*Hipótesis!$D$9/Hipótesis!$C$9</f>
        <v/>
      </c>
      <c r="K23" s="28">
        <f>('Proyección de ventas'!K50*Planes!$I$7+'Proyección de ventas'!K56*Planes!$I$8+'Proyección de ventas'!K60*Planes!$I$9)*Hipótesis!$D$9/Hipótesis!$C$9</f>
        <v/>
      </c>
      <c r="L23" s="28">
        <f>('Proyección de ventas'!L50*Planes!$I$7+'Proyección de ventas'!L56*Planes!$I$8+'Proyección de ventas'!L60*Planes!$I$9)*Hipótesis!$D$9/Hipótesis!$C$9</f>
        <v/>
      </c>
      <c r="M23" s="28">
        <f>('Proyección de ventas'!M50*Planes!$I$7+'Proyección de ventas'!M56*Planes!$I$8+'Proyección de ventas'!M60*Planes!$I$9)*Hipótesis!$D$9/Hipótesis!$C$9</f>
        <v/>
      </c>
      <c r="N23" s="28">
        <f>('Proyección de ventas'!N50*Planes!$I$7+'Proyección de ventas'!N56*Planes!$I$8+'Proyección de ventas'!N60*Planes!$I$9)*Hipótesis!$D$9/Hipótesis!$C$9</f>
        <v/>
      </c>
      <c r="O23" s="29">
        <f>SUM(C23:N23)</f>
        <v/>
      </c>
    </row>
    <row r="24">
      <c r="B24" s="20" t="inlineStr">
        <is>
          <t>Total de costos variables</t>
        </is>
      </c>
      <c r="C24" s="18">
        <f>SUM(C21:C23)</f>
        <v/>
      </c>
      <c r="D24" s="18">
        <f>SUM(D21:D23)</f>
        <v/>
      </c>
      <c r="E24" s="18">
        <f>SUM(E21:E23)</f>
        <v/>
      </c>
      <c r="F24" s="18">
        <f>SUM(F21:F23)</f>
        <v/>
      </c>
      <c r="G24" s="18">
        <f>SUM(G21:G23)</f>
        <v/>
      </c>
      <c r="H24" s="18">
        <f>SUM(H21:H23)</f>
        <v/>
      </c>
      <c r="I24" s="18">
        <f>SUM(I21:I23)</f>
        <v/>
      </c>
      <c r="J24" s="18">
        <f>SUM(J21:J23)</f>
        <v/>
      </c>
      <c r="K24" s="18">
        <f>SUM(K21:K23)</f>
        <v/>
      </c>
      <c r="L24" s="18">
        <f>SUM(L21:L23)</f>
        <v/>
      </c>
      <c r="M24" s="18">
        <f>SUM(M21:M23)</f>
        <v/>
      </c>
      <c r="N24" s="18">
        <f>SUM(N21:N23)</f>
        <v/>
      </c>
      <c r="O24" s="29">
        <f>SUM(C24:N24)</f>
        <v/>
      </c>
    </row>
    <row r="25"/>
    <row r="26"/>
    <row r="27">
      <c r="C27" s="5" t="n">
        <v>2029</v>
      </c>
    </row>
    <row r="28">
      <c r="C28" s="26" t="inlineStr">
        <is>
          <t>Ene</t>
        </is>
      </c>
      <c r="D28" s="26" t="inlineStr">
        <is>
          <t>Feb</t>
        </is>
      </c>
      <c r="E28" s="26" t="inlineStr">
        <is>
          <t>Mar</t>
        </is>
      </c>
      <c r="F28" s="26" t="inlineStr">
        <is>
          <t>Abr</t>
        </is>
      </c>
      <c r="G28" s="26" t="inlineStr">
        <is>
          <t>May</t>
        </is>
      </c>
      <c r="H28" s="26" t="inlineStr">
        <is>
          <t>Jun</t>
        </is>
      </c>
      <c r="I28" s="26" t="inlineStr">
        <is>
          <t>Jul</t>
        </is>
      </c>
      <c r="J28" s="26" t="inlineStr">
        <is>
          <t>Ago</t>
        </is>
      </c>
      <c r="K28" s="26" t="inlineStr">
        <is>
          <t>Sep</t>
        </is>
      </c>
      <c r="L28" s="26" t="inlineStr">
        <is>
          <t>Oct</t>
        </is>
      </c>
      <c r="M28" s="26" t="inlineStr">
        <is>
          <t>Nov</t>
        </is>
      </c>
      <c r="N28" s="26" t="inlineStr">
        <is>
          <t>Dic</t>
        </is>
      </c>
      <c r="O28" s="27" t="inlineStr">
        <is>
          <t>Total 2029</t>
        </is>
      </c>
    </row>
    <row r="29"/>
    <row r="30">
      <c r="B30" s="9" t="inlineStr">
        <is>
          <t>Por concepto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20" t="inlineStr">
        <is>
          <t>VARIABLES</t>
        </is>
      </c>
      <c r="B31" s="13" t="inlineStr">
        <is>
          <t>Infraestructura por cliente (sigue al dólar)</t>
        </is>
      </c>
      <c r="C31" s="28">
        <f>('Proyección de ventas'!C80*Planes!$G$7+'Proyección de ventas'!C86*Planes!$G$8+'Proyección de ventas'!C90*Planes!$G$9)*Hipótesis!$E$9/Hipótesis!$C$9</f>
        <v/>
      </c>
      <c r="D31" s="28">
        <f>('Proyección de ventas'!D80*Planes!$G$7+'Proyección de ventas'!D86*Planes!$G$8+'Proyección de ventas'!D90*Planes!$G$9)*Hipótesis!$E$9/Hipótesis!$C$9</f>
        <v/>
      </c>
      <c r="E31" s="28">
        <f>('Proyección de ventas'!E80*Planes!$G$7+'Proyección de ventas'!E86*Planes!$G$8+'Proyección de ventas'!E90*Planes!$G$9)*Hipótesis!$E$9/Hipótesis!$C$9</f>
        <v/>
      </c>
      <c r="F31" s="28">
        <f>('Proyección de ventas'!F80*Planes!$G$7+'Proyección de ventas'!F86*Planes!$G$8+'Proyección de ventas'!F90*Planes!$G$9)*Hipótesis!$E$9/Hipótesis!$C$9</f>
        <v/>
      </c>
      <c r="G31" s="28">
        <f>('Proyección de ventas'!G80*Planes!$G$7+'Proyección de ventas'!G86*Planes!$G$8+'Proyección de ventas'!G90*Planes!$G$9)*Hipótesis!$E$9/Hipótesis!$C$9</f>
        <v/>
      </c>
      <c r="H31" s="28">
        <f>('Proyección de ventas'!H80*Planes!$G$7+'Proyección de ventas'!H86*Planes!$G$8+'Proyección de ventas'!H90*Planes!$G$9)*Hipótesis!$E$9/Hipótesis!$C$9</f>
        <v/>
      </c>
      <c r="I31" s="28">
        <f>('Proyección de ventas'!I80*Planes!$G$7+'Proyección de ventas'!I86*Planes!$G$8+'Proyección de ventas'!I90*Planes!$G$9)*Hipótesis!$E$9/Hipótesis!$C$9</f>
        <v/>
      </c>
      <c r="J31" s="28">
        <f>('Proyección de ventas'!J80*Planes!$G$7+'Proyección de ventas'!J86*Planes!$G$8+'Proyección de ventas'!J90*Planes!$G$9)*Hipótesis!$E$9/Hipótesis!$C$9</f>
        <v/>
      </c>
      <c r="K31" s="28">
        <f>('Proyección de ventas'!K80*Planes!$G$7+'Proyección de ventas'!K86*Planes!$G$8+'Proyección de ventas'!K90*Planes!$G$9)*Hipótesis!$E$9/Hipótesis!$C$9</f>
        <v/>
      </c>
      <c r="L31" s="28">
        <f>('Proyección de ventas'!L80*Planes!$G$7+'Proyección de ventas'!L86*Planes!$G$8+'Proyección de ventas'!L90*Planes!$G$9)*Hipótesis!$E$9/Hipótesis!$C$9</f>
        <v/>
      </c>
      <c r="M31" s="28">
        <f>('Proyección de ventas'!M80*Planes!$G$7+'Proyección de ventas'!M86*Planes!$G$8+'Proyección de ventas'!M90*Planes!$G$9)*Hipótesis!$E$9/Hipótesis!$C$9</f>
        <v/>
      </c>
      <c r="N31" s="28">
        <f>('Proyección de ventas'!N80*Planes!$G$7+'Proyección de ventas'!N86*Planes!$G$8+'Proyección de ventas'!N90*Planes!$G$9)*Hipótesis!$E$9/Hipótesis!$C$9</f>
        <v/>
      </c>
      <c r="O31" s="29">
        <f>SUM(C31:N31)</f>
        <v/>
      </c>
    </row>
    <row r="32">
      <c r="B32" s="13" t="inlineStr">
        <is>
          <t>Soporte y onboarding por cliente (sigue a los salarios)</t>
        </is>
      </c>
      <c r="C32" s="28">
        <f>('Proyección de ventas'!C80*Planes!$H$7+'Proyección de ventas'!C86*Planes!$H$8+'Proyección de ventas'!C90*Planes!$H$9)*(1+Hipótesis!$D$14)*(1+Hipótesis!$E$14)</f>
        <v/>
      </c>
      <c r="D32" s="28">
        <f>('Proyección de ventas'!D80*Planes!$H$7+'Proyección de ventas'!D86*Planes!$H$8+'Proyección de ventas'!D90*Planes!$H$9)*(1+Hipótesis!$D$14)*(1+Hipótesis!$E$14)</f>
        <v/>
      </c>
      <c r="E32" s="28">
        <f>('Proyección de ventas'!E80*Planes!$H$7+'Proyección de ventas'!E86*Planes!$H$8+'Proyección de ventas'!E90*Planes!$H$9)*(1+Hipótesis!$D$14)*(1+Hipótesis!$E$14)</f>
        <v/>
      </c>
      <c r="F32" s="28">
        <f>('Proyección de ventas'!F80*Planes!$H$7+'Proyección de ventas'!F86*Planes!$H$8+'Proyección de ventas'!F90*Planes!$H$9)*(1+Hipótesis!$D$14)*(1+Hipótesis!$E$14)</f>
        <v/>
      </c>
      <c r="G32" s="28">
        <f>('Proyección de ventas'!G80*Planes!$H$7+'Proyección de ventas'!G86*Planes!$H$8+'Proyección de ventas'!G90*Planes!$H$9)*(1+Hipótesis!$D$14)*(1+Hipótesis!$E$14)</f>
        <v/>
      </c>
      <c r="H32" s="28">
        <f>('Proyección de ventas'!H80*Planes!$H$7+'Proyección de ventas'!H86*Planes!$H$8+'Proyección de ventas'!H90*Planes!$H$9)*(1+Hipótesis!$D$14)*(1+Hipótesis!$E$14)</f>
        <v/>
      </c>
      <c r="I32" s="28">
        <f>('Proyección de ventas'!I80*Planes!$H$7+'Proyección de ventas'!I86*Planes!$H$8+'Proyección de ventas'!I90*Planes!$H$9)*(1+Hipótesis!$D$14)*(1+Hipótesis!$E$14)</f>
        <v/>
      </c>
      <c r="J32" s="28">
        <f>('Proyección de ventas'!J80*Planes!$H$7+'Proyección de ventas'!J86*Planes!$H$8+'Proyección de ventas'!J90*Planes!$H$9)*(1+Hipótesis!$D$14)*(1+Hipótesis!$E$14)</f>
        <v/>
      </c>
      <c r="K32" s="28">
        <f>('Proyección de ventas'!K80*Planes!$H$7+'Proyección de ventas'!K86*Planes!$H$8+'Proyección de ventas'!K90*Planes!$H$9)*(1+Hipótesis!$D$14)*(1+Hipótesis!$E$14)</f>
        <v/>
      </c>
      <c r="L32" s="28">
        <f>('Proyección de ventas'!L80*Planes!$H$7+'Proyección de ventas'!L86*Planes!$H$8+'Proyección de ventas'!L90*Planes!$H$9)*(1+Hipótesis!$D$14)*(1+Hipótesis!$E$14)</f>
        <v/>
      </c>
      <c r="M32" s="28">
        <f>('Proyección de ventas'!M80*Planes!$H$7+'Proyección de ventas'!M86*Planes!$H$8+'Proyección de ventas'!M90*Planes!$H$9)*(1+Hipótesis!$D$14)*(1+Hipótesis!$E$14)</f>
        <v/>
      </c>
      <c r="N32" s="28">
        <f>('Proyección de ventas'!N80*Planes!$H$7+'Proyección de ventas'!N86*Planes!$H$8+'Proyección de ventas'!N90*Planes!$H$9)*(1+Hipótesis!$D$14)*(1+Hipótesis!$E$14)</f>
        <v/>
      </c>
      <c r="O32" s="29">
        <f>SUM(C32:N32)</f>
        <v/>
      </c>
    </row>
    <row r="33">
      <c r="B33" s="13" t="inlineStr">
        <is>
          <t>Servicio externo de inteligencia artificial (sigue al dólar)</t>
        </is>
      </c>
      <c r="C33" s="28">
        <f>('Proyección de ventas'!C80*Planes!$I$7+'Proyección de ventas'!C86*Planes!$I$8+'Proyección de ventas'!C90*Planes!$I$9)*Hipótesis!$E$9/Hipótesis!$C$9</f>
        <v/>
      </c>
      <c r="D33" s="28">
        <f>('Proyección de ventas'!D80*Planes!$I$7+'Proyección de ventas'!D86*Planes!$I$8+'Proyección de ventas'!D90*Planes!$I$9)*Hipótesis!$E$9/Hipótesis!$C$9</f>
        <v/>
      </c>
      <c r="E33" s="28">
        <f>('Proyección de ventas'!E80*Planes!$I$7+'Proyección de ventas'!E86*Planes!$I$8+'Proyección de ventas'!E90*Planes!$I$9)*Hipótesis!$E$9/Hipótesis!$C$9</f>
        <v/>
      </c>
      <c r="F33" s="28">
        <f>('Proyección de ventas'!F80*Planes!$I$7+'Proyección de ventas'!F86*Planes!$I$8+'Proyección de ventas'!F90*Planes!$I$9)*Hipótesis!$E$9/Hipótesis!$C$9</f>
        <v/>
      </c>
      <c r="G33" s="28">
        <f>('Proyección de ventas'!G80*Planes!$I$7+'Proyección de ventas'!G86*Planes!$I$8+'Proyección de ventas'!G90*Planes!$I$9)*Hipótesis!$E$9/Hipótesis!$C$9</f>
        <v/>
      </c>
      <c r="H33" s="28">
        <f>('Proyección de ventas'!H80*Planes!$I$7+'Proyección de ventas'!H86*Planes!$I$8+'Proyección de ventas'!H90*Planes!$I$9)*Hipótesis!$E$9/Hipótesis!$C$9</f>
        <v/>
      </c>
      <c r="I33" s="28">
        <f>('Proyección de ventas'!I80*Planes!$I$7+'Proyección de ventas'!I86*Planes!$I$8+'Proyección de ventas'!I90*Planes!$I$9)*Hipótesis!$E$9/Hipótesis!$C$9</f>
        <v/>
      </c>
      <c r="J33" s="28">
        <f>('Proyección de ventas'!J80*Planes!$I$7+'Proyección de ventas'!J86*Planes!$I$8+'Proyección de ventas'!J90*Planes!$I$9)*Hipótesis!$E$9/Hipótesis!$C$9</f>
        <v/>
      </c>
      <c r="K33" s="28">
        <f>('Proyección de ventas'!K80*Planes!$I$7+'Proyección de ventas'!K86*Planes!$I$8+'Proyección de ventas'!K90*Planes!$I$9)*Hipótesis!$E$9/Hipótesis!$C$9</f>
        <v/>
      </c>
      <c r="L33" s="28">
        <f>('Proyección de ventas'!L80*Planes!$I$7+'Proyección de ventas'!L86*Planes!$I$8+'Proyección de ventas'!L90*Planes!$I$9)*Hipótesis!$E$9/Hipótesis!$C$9</f>
        <v/>
      </c>
      <c r="M33" s="28">
        <f>('Proyección de ventas'!M80*Planes!$I$7+'Proyección de ventas'!M86*Planes!$I$8+'Proyección de ventas'!M90*Planes!$I$9)*Hipótesis!$E$9/Hipótesis!$C$9</f>
        <v/>
      </c>
      <c r="N33" s="28">
        <f>('Proyección de ventas'!N80*Planes!$I$7+'Proyección de ventas'!N86*Planes!$I$8+'Proyección de ventas'!N90*Planes!$I$9)*Hipótesis!$E$9/Hipótesis!$C$9</f>
        <v/>
      </c>
      <c r="O33" s="29">
        <f>SUM(C33:N33)</f>
        <v/>
      </c>
    </row>
    <row r="34">
      <c r="B34" s="20" t="inlineStr">
        <is>
          <t>Total de costos variables</t>
        </is>
      </c>
      <c r="C34" s="18">
        <f>SUM(C31:C33)</f>
        <v/>
      </c>
      <c r="D34" s="18">
        <f>SUM(D31:D33)</f>
        <v/>
      </c>
      <c r="E34" s="18">
        <f>SUM(E31:E33)</f>
        <v/>
      </c>
      <c r="F34" s="18">
        <f>SUM(F31:F33)</f>
        <v/>
      </c>
      <c r="G34" s="18">
        <f>SUM(G31:G33)</f>
        <v/>
      </c>
      <c r="H34" s="18">
        <f>SUM(H31:H33)</f>
        <v/>
      </c>
      <c r="I34" s="18">
        <f>SUM(I31:I33)</f>
        <v/>
      </c>
      <c r="J34" s="18">
        <f>SUM(J31:J33)</f>
        <v/>
      </c>
      <c r="K34" s="18">
        <f>SUM(K31:K33)</f>
        <v/>
      </c>
      <c r="L34" s="18">
        <f>SUM(L31:L33)</f>
        <v/>
      </c>
      <c r="M34" s="18">
        <f>SUM(M31:M33)</f>
        <v/>
      </c>
      <c r="N34" s="18">
        <f>SUM(N31:N33)</f>
        <v/>
      </c>
      <c r="O34" s="29">
        <f>SUM(C34:N34)</f>
        <v/>
      </c>
    </row>
    <row r="35"/>
    <row r="36"/>
    <row r="37">
      <c r="C37" s="5" t="n">
        <v>2030</v>
      </c>
    </row>
    <row r="38">
      <c r="C38" s="26" t="inlineStr">
        <is>
          <t>Ene</t>
        </is>
      </c>
      <c r="D38" s="26" t="inlineStr">
        <is>
          <t>Feb</t>
        </is>
      </c>
      <c r="E38" s="26" t="inlineStr">
        <is>
          <t>Mar</t>
        </is>
      </c>
      <c r="F38" s="26" t="inlineStr">
        <is>
          <t>Abr</t>
        </is>
      </c>
      <c r="G38" s="26" t="inlineStr">
        <is>
          <t>May</t>
        </is>
      </c>
      <c r="H38" s="26" t="inlineStr">
        <is>
          <t>Jun</t>
        </is>
      </c>
      <c r="I38" s="26" t="inlineStr">
        <is>
          <t>Jul</t>
        </is>
      </c>
      <c r="J38" s="26" t="inlineStr">
        <is>
          <t>Ago</t>
        </is>
      </c>
      <c r="K38" s="26" t="inlineStr">
        <is>
          <t>Sep</t>
        </is>
      </c>
      <c r="L38" s="26" t="inlineStr">
        <is>
          <t>Oct</t>
        </is>
      </c>
      <c r="M38" s="26" t="inlineStr">
        <is>
          <t>Nov</t>
        </is>
      </c>
      <c r="N38" s="26" t="inlineStr">
        <is>
          <t>Dic</t>
        </is>
      </c>
      <c r="O38" s="27" t="inlineStr">
        <is>
          <t>Total 2030</t>
        </is>
      </c>
    </row>
    <row r="39"/>
    <row r="40">
      <c r="B40" s="9" t="inlineStr">
        <is>
          <t>Por concepto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20" t="inlineStr">
        <is>
          <t>VARIABLES</t>
        </is>
      </c>
      <c r="B41" s="13" t="inlineStr">
        <is>
          <t>Infraestructura por cliente (sigue al dólar)</t>
        </is>
      </c>
      <c r="C41" s="28">
        <f>('Proyección de ventas'!C110*Planes!$G$7+'Proyección de ventas'!C116*Planes!$G$8+'Proyección de ventas'!C120*Planes!$G$9)*Hipótesis!$F$9/Hipótesis!$C$9</f>
        <v/>
      </c>
      <c r="D41" s="28">
        <f>('Proyección de ventas'!D110*Planes!$G$7+'Proyección de ventas'!D116*Planes!$G$8+'Proyección de ventas'!D120*Planes!$G$9)*Hipótesis!$F$9/Hipótesis!$C$9</f>
        <v/>
      </c>
      <c r="E41" s="28">
        <f>('Proyección de ventas'!E110*Planes!$G$7+'Proyección de ventas'!E116*Planes!$G$8+'Proyección de ventas'!E120*Planes!$G$9)*Hipótesis!$F$9/Hipótesis!$C$9</f>
        <v/>
      </c>
      <c r="F41" s="28">
        <f>('Proyección de ventas'!F110*Planes!$G$7+'Proyección de ventas'!F116*Planes!$G$8+'Proyección de ventas'!F120*Planes!$G$9)*Hipótesis!$F$9/Hipótesis!$C$9</f>
        <v/>
      </c>
      <c r="G41" s="28">
        <f>('Proyección de ventas'!G110*Planes!$G$7+'Proyección de ventas'!G116*Planes!$G$8+'Proyección de ventas'!G120*Planes!$G$9)*Hipótesis!$F$9/Hipótesis!$C$9</f>
        <v/>
      </c>
      <c r="H41" s="28">
        <f>('Proyección de ventas'!H110*Planes!$G$7+'Proyección de ventas'!H116*Planes!$G$8+'Proyección de ventas'!H120*Planes!$G$9)*Hipótesis!$F$9/Hipótesis!$C$9</f>
        <v/>
      </c>
      <c r="I41" s="28">
        <f>('Proyección de ventas'!I110*Planes!$G$7+'Proyección de ventas'!I116*Planes!$G$8+'Proyección de ventas'!I120*Planes!$G$9)*Hipótesis!$F$9/Hipótesis!$C$9</f>
        <v/>
      </c>
      <c r="J41" s="28">
        <f>('Proyección de ventas'!J110*Planes!$G$7+'Proyección de ventas'!J116*Planes!$G$8+'Proyección de ventas'!J120*Planes!$G$9)*Hipótesis!$F$9/Hipótesis!$C$9</f>
        <v/>
      </c>
      <c r="K41" s="28">
        <f>('Proyección de ventas'!K110*Planes!$G$7+'Proyección de ventas'!K116*Planes!$G$8+'Proyección de ventas'!K120*Planes!$G$9)*Hipótesis!$F$9/Hipótesis!$C$9</f>
        <v/>
      </c>
      <c r="L41" s="28">
        <f>('Proyección de ventas'!L110*Planes!$G$7+'Proyección de ventas'!L116*Planes!$G$8+'Proyección de ventas'!L120*Planes!$G$9)*Hipótesis!$F$9/Hipótesis!$C$9</f>
        <v/>
      </c>
      <c r="M41" s="28">
        <f>('Proyección de ventas'!M110*Planes!$G$7+'Proyección de ventas'!M116*Planes!$G$8+'Proyección de ventas'!M120*Planes!$G$9)*Hipótesis!$F$9/Hipótesis!$C$9</f>
        <v/>
      </c>
      <c r="N41" s="28">
        <f>('Proyección de ventas'!N110*Planes!$G$7+'Proyección de ventas'!N116*Planes!$G$8+'Proyección de ventas'!N120*Planes!$G$9)*Hipótesis!$F$9/Hipótesis!$C$9</f>
        <v/>
      </c>
      <c r="O41" s="29">
        <f>SUM(C41:N41)</f>
        <v/>
      </c>
    </row>
    <row r="42">
      <c r="B42" s="13" t="inlineStr">
        <is>
          <t>Soporte y onboarding por cliente (sigue a los salarios)</t>
        </is>
      </c>
      <c r="C42" s="28">
        <f>('Proyección de ventas'!C110*Planes!$H$7+'Proyección de ventas'!C116*Planes!$H$8+'Proyección de ventas'!C120*Planes!$H$9)*(1+Hipótesis!$D$14)*(1+Hipótesis!$E$14)*(1+Hipótesis!$F$14)</f>
        <v/>
      </c>
      <c r="D42" s="28">
        <f>('Proyección de ventas'!D110*Planes!$H$7+'Proyección de ventas'!D116*Planes!$H$8+'Proyección de ventas'!D120*Planes!$H$9)*(1+Hipótesis!$D$14)*(1+Hipótesis!$E$14)*(1+Hipótesis!$F$14)</f>
        <v/>
      </c>
      <c r="E42" s="28">
        <f>('Proyección de ventas'!E110*Planes!$H$7+'Proyección de ventas'!E116*Planes!$H$8+'Proyección de ventas'!E120*Planes!$H$9)*(1+Hipótesis!$D$14)*(1+Hipótesis!$E$14)*(1+Hipótesis!$F$14)</f>
        <v/>
      </c>
      <c r="F42" s="28">
        <f>('Proyección de ventas'!F110*Planes!$H$7+'Proyección de ventas'!F116*Planes!$H$8+'Proyección de ventas'!F120*Planes!$H$9)*(1+Hipótesis!$D$14)*(1+Hipótesis!$E$14)*(1+Hipótesis!$F$14)</f>
        <v/>
      </c>
      <c r="G42" s="28">
        <f>('Proyección de ventas'!G110*Planes!$H$7+'Proyección de ventas'!G116*Planes!$H$8+'Proyección de ventas'!G120*Planes!$H$9)*(1+Hipótesis!$D$14)*(1+Hipótesis!$E$14)*(1+Hipótesis!$F$14)</f>
        <v/>
      </c>
      <c r="H42" s="28">
        <f>('Proyección de ventas'!H110*Planes!$H$7+'Proyección de ventas'!H116*Planes!$H$8+'Proyección de ventas'!H120*Planes!$H$9)*(1+Hipótesis!$D$14)*(1+Hipótesis!$E$14)*(1+Hipótesis!$F$14)</f>
        <v/>
      </c>
      <c r="I42" s="28">
        <f>('Proyección de ventas'!I110*Planes!$H$7+'Proyección de ventas'!I116*Planes!$H$8+'Proyección de ventas'!I120*Planes!$H$9)*(1+Hipótesis!$D$14)*(1+Hipótesis!$E$14)*(1+Hipótesis!$F$14)</f>
        <v/>
      </c>
      <c r="J42" s="28">
        <f>('Proyección de ventas'!J110*Planes!$H$7+'Proyección de ventas'!J116*Planes!$H$8+'Proyección de ventas'!J120*Planes!$H$9)*(1+Hipótesis!$D$14)*(1+Hipótesis!$E$14)*(1+Hipótesis!$F$14)</f>
        <v/>
      </c>
      <c r="K42" s="28">
        <f>('Proyección de ventas'!K110*Planes!$H$7+'Proyección de ventas'!K116*Planes!$H$8+'Proyección de ventas'!K120*Planes!$H$9)*(1+Hipótesis!$D$14)*(1+Hipótesis!$E$14)*(1+Hipótesis!$F$14)</f>
        <v/>
      </c>
      <c r="L42" s="28">
        <f>('Proyección de ventas'!L110*Planes!$H$7+'Proyección de ventas'!L116*Planes!$H$8+'Proyección de ventas'!L120*Planes!$H$9)*(1+Hipótesis!$D$14)*(1+Hipótesis!$E$14)*(1+Hipótesis!$F$14)</f>
        <v/>
      </c>
      <c r="M42" s="28">
        <f>('Proyección de ventas'!M110*Planes!$H$7+'Proyección de ventas'!M116*Planes!$H$8+'Proyección de ventas'!M120*Planes!$H$9)*(1+Hipótesis!$D$14)*(1+Hipótesis!$E$14)*(1+Hipótesis!$F$14)</f>
        <v/>
      </c>
      <c r="N42" s="28">
        <f>('Proyección de ventas'!N110*Planes!$H$7+'Proyección de ventas'!N116*Planes!$H$8+'Proyección de ventas'!N120*Planes!$H$9)*(1+Hipótesis!$D$14)*(1+Hipótesis!$E$14)*(1+Hipótesis!$F$14)</f>
        <v/>
      </c>
      <c r="O42" s="29">
        <f>SUM(C42:N42)</f>
        <v/>
      </c>
    </row>
    <row r="43">
      <c r="B43" s="13" t="inlineStr">
        <is>
          <t>Servicio externo de inteligencia artificial (sigue al dólar)</t>
        </is>
      </c>
      <c r="C43" s="28">
        <f>('Proyección de ventas'!C110*Planes!$I$7+'Proyección de ventas'!C116*Planes!$I$8+'Proyección de ventas'!C120*Planes!$I$9)*Hipótesis!$F$9/Hipótesis!$C$9</f>
        <v/>
      </c>
      <c r="D43" s="28">
        <f>('Proyección de ventas'!D110*Planes!$I$7+'Proyección de ventas'!D116*Planes!$I$8+'Proyección de ventas'!D120*Planes!$I$9)*Hipótesis!$F$9/Hipótesis!$C$9</f>
        <v/>
      </c>
      <c r="E43" s="28">
        <f>('Proyección de ventas'!E110*Planes!$I$7+'Proyección de ventas'!E116*Planes!$I$8+'Proyección de ventas'!E120*Planes!$I$9)*Hipótesis!$F$9/Hipótesis!$C$9</f>
        <v/>
      </c>
      <c r="F43" s="28">
        <f>('Proyección de ventas'!F110*Planes!$I$7+'Proyección de ventas'!F116*Planes!$I$8+'Proyección de ventas'!F120*Planes!$I$9)*Hipótesis!$F$9/Hipótesis!$C$9</f>
        <v/>
      </c>
      <c r="G43" s="28">
        <f>('Proyección de ventas'!G110*Planes!$I$7+'Proyección de ventas'!G116*Planes!$I$8+'Proyección de ventas'!G120*Planes!$I$9)*Hipótesis!$F$9/Hipótesis!$C$9</f>
        <v/>
      </c>
      <c r="H43" s="28">
        <f>('Proyección de ventas'!H110*Planes!$I$7+'Proyección de ventas'!H116*Planes!$I$8+'Proyección de ventas'!H120*Planes!$I$9)*Hipótesis!$F$9/Hipótesis!$C$9</f>
        <v/>
      </c>
      <c r="I43" s="28">
        <f>('Proyección de ventas'!I110*Planes!$I$7+'Proyección de ventas'!I116*Planes!$I$8+'Proyección de ventas'!I120*Planes!$I$9)*Hipótesis!$F$9/Hipótesis!$C$9</f>
        <v/>
      </c>
      <c r="J43" s="28">
        <f>('Proyección de ventas'!J110*Planes!$I$7+'Proyección de ventas'!J116*Planes!$I$8+'Proyección de ventas'!J120*Planes!$I$9)*Hipótesis!$F$9/Hipótesis!$C$9</f>
        <v/>
      </c>
      <c r="K43" s="28">
        <f>('Proyección de ventas'!K110*Planes!$I$7+'Proyección de ventas'!K116*Planes!$I$8+'Proyección de ventas'!K120*Planes!$I$9)*Hipótesis!$F$9/Hipótesis!$C$9</f>
        <v/>
      </c>
      <c r="L43" s="28">
        <f>('Proyección de ventas'!L110*Planes!$I$7+'Proyección de ventas'!L116*Planes!$I$8+'Proyección de ventas'!L120*Planes!$I$9)*Hipótesis!$F$9/Hipótesis!$C$9</f>
        <v/>
      </c>
      <c r="M43" s="28">
        <f>('Proyección de ventas'!M110*Planes!$I$7+'Proyección de ventas'!M116*Planes!$I$8+'Proyección de ventas'!M120*Planes!$I$9)*Hipótesis!$F$9/Hipótesis!$C$9</f>
        <v/>
      </c>
      <c r="N43" s="28">
        <f>('Proyección de ventas'!N110*Planes!$I$7+'Proyección de ventas'!N116*Planes!$I$8+'Proyección de ventas'!N120*Planes!$I$9)*Hipótesis!$F$9/Hipótesis!$C$9</f>
        <v/>
      </c>
      <c r="O43" s="29">
        <f>SUM(C43:N43)</f>
        <v/>
      </c>
    </row>
    <row r="44">
      <c r="B44" s="20" t="inlineStr">
        <is>
          <t>Total de costos variables</t>
        </is>
      </c>
      <c r="C44" s="18">
        <f>SUM(C41:C43)</f>
        <v/>
      </c>
      <c r="D44" s="18">
        <f>SUM(D41:D43)</f>
        <v/>
      </c>
      <c r="E44" s="18">
        <f>SUM(E41:E43)</f>
        <v/>
      </c>
      <c r="F44" s="18">
        <f>SUM(F41:F43)</f>
        <v/>
      </c>
      <c r="G44" s="18">
        <f>SUM(G41:G43)</f>
        <v/>
      </c>
      <c r="H44" s="18">
        <f>SUM(H41:H43)</f>
        <v/>
      </c>
      <c r="I44" s="18">
        <f>SUM(I41:I43)</f>
        <v/>
      </c>
      <c r="J44" s="18">
        <f>SUM(J41:J43)</f>
        <v/>
      </c>
      <c r="K44" s="18">
        <f>SUM(K41:K43)</f>
        <v/>
      </c>
      <c r="L44" s="18">
        <f>SUM(L41:L43)</f>
        <v/>
      </c>
      <c r="M44" s="18">
        <f>SUM(M41:M43)</f>
        <v/>
      </c>
      <c r="N44" s="18">
        <f>SUM(N41:N43)</f>
        <v/>
      </c>
      <c r="O44" s="29">
        <f>SUM(C44:N44)</f>
        <v/>
      </c>
    </row>
    <row r="45"/>
    <row r="46">
      <c r="B46" s="3" t="inlineStr">
        <is>
          <t>El costo del servicio de inteligencia artificial es el único que el sistema mide por sí mismo: cada consulta de clasificación, de asignación y de guía de reparación queda registrada, así que la estimación de la sección 6.5.3 se puede contrastar contra el consumo real.</t>
        </is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U94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8" t="inlineStr">
        <is>
          <t>COSTOS DE RRHH</t>
        </is>
      </c>
    </row>
    <row r="3">
      <c r="B3" s="3" t="inlineStr">
        <is>
          <t>Plantilla de la sección 7.6 del documento. Los cuatro roles funcionales se cubren de a poco: en las primeras etapas los socios fundadores asumen más de uno.</t>
        </is>
      </c>
      <c r="Q3" s="5" t="inlineStr">
        <is>
          <t>Resumen anual</t>
        </is>
      </c>
    </row>
    <row r="4">
      <c r="Q4" s="3" t="inlineStr">
        <is>
          <t>Los totales de cada año, que son los que alimentan el gráfico.</t>
        </is>
      </c>
    </row>
    <row r="5">
      <c r="Q5" s="20" t="inlineStr">
        <is>
          <t>Concepto</t>
        </is>
      </c>
      <c r="R5" s="11" t="n">
        <v>2027</v>
      </c>
      <c r="S5" s="11" t="n">
        <v>2028</v>
      </c>
      <c r="T5" s="11" t="n">
        <v>2029</v>
      </c>
      <c r="U5" s="11" t="n">
        <v>2030</v>
      </c>
    </row>
    <row r="6">
      <c r="B6" s="9" t="inlineStr">
        <is>
          <t>Salario bruto mensual y mes de incorporación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Q6" s="13" t="inlineStr">
        <is>
          <t>Sueldos brutos</t>
        </is>
      </c>
      <c r="R6" s="28">
        <f>O46</f>
        <v/>
      </c>
      <c r="S6" s="28">
        <f>O61</f>
        <v/>
      </c>
      <c r="T6" s="28">
        <f>O76</f>
        <v/>
      </c>
      <c r="U6" s="28">
        <f>O91</f>
        <v/>
      </c>
    </row>
    <row r="7">
      <c r="B7" s="12" t="inlineStr">
        <is>
          <t>Rol</t>
        </is>
      </c>
      <c r="C7" s="12" t="inlineStr">
        <is>
          <t>Salario bruto</t>
        </is>
      </c>
      <c r="D7" s="12" t="inlineStr">
        <is>
          <t>Mes de alta</t>
        </is>
      </c>
      <c r="Q7" s="13" t="inlineStr">
        <is>
          <t>Cargas sociales</t>
        </is>
      </c>
      <c r="R7" s="28">
        <f>O47</f>
        <v/>
      </c>
      <c r="S7" s="28">
        <f>O62</f>
        <v/>
      </c>
      <c r="T7" s="28">
        <f>O77</f>
        <v/>
      </c>
      <c r="U7" s="28">
        <f>O92</f>
        <v/>
      </c>
    </row>
    <row r="8">
      <c r="B8" s="13" t="inlineStr">
        <is>
          <t>Responsable de Producto y Desarrollo (socio)</t>
        </is>
      </c>
      <c r="C8" s="15" t="n">
        <v>4200000</v>
      </c>
      <c r="D8" s="15" t="n">
        <v>1</v>
      </c>
      <c r="E8" s="3" t="inlineStr">
        <is>
          <t>Socio</t>
        </is>
      </c>
    </row>
    <row r="9">
      <c r="B9" s="13" t="inlineStr">
        <is>
          <t>Responsable Comercial y de Cuentas (socio)</t>
        </is>
      </c>
      <c r="C9" s="15" t="n">
        <v>3600000</v>
      </c>
      <c r="D9" s="15" t="n">
        <v>1</v>
      </c>
      <c r="E9" s="3" t="inlineStr">
        <is>
          <t>Socio</t>
        </is>
      </c>
      <c r="Q9" s="13" t="inlineStr">
        <is>
          <t>Personas en la plantilla</t>
        </is>
      </c>
      <c r="R9" s="28">
        <f>O49</f>
        <v/>
      </c>
      <c r="S9" s="28">
        <f>O64</f>
        <v/>
      </c>
      <c r="T9" s="28">
        <f>O79</f>
        <v/>
      </c>
      <c r="U9" s="28">
        <f>O94</f>
        <v/>
      </c>
    </row>
    <row r="10">
      <c r="B10" s="13" t="inlineStr">
        <is>
          <t>Responsable de Soporte y Onboarding</t>
        </is>
      </c>
      <c r="C10" s="15" t="n">
        <v>2400000</v>
      </c>
      <c r="D10" s="15" t="n">
        <v>12</v>
      </c>
      <c r="E10" s="3" t="inlineStr">
        <is>
          <t>Empleado</t>
        </is>
      </c>
    </row>
    <row r="11">
      <c r="B11" s="13" t="inlineStr">
        <is>
          <t>Colaborador de desarrollo</t>
        </is>
      </c>
      <c r="C11" s="15" t="n">
        <v>2900000</v>
      </c>
      <c r="D11" s="15" t="n">
        <v>20</v>
      </c>
      <c r="E11" s="3" t="inlineStr">
        <is>
          <t>Empleado</t>
        </is>
      </c>
    </row>
    <row r="12">
      <c r="B12" s="13" t="inlineStr">
        <is>
          <t>Responsable de Marketing y Contenidos</t>
        </is>
      </c>
      <c r="C12" s="15" t="n">
        <v>1100000</v>
      </c>
      <c r="D12" s="15" t="n">
        <v>30</v>
      </c>
      <c r="E12" s="3" t="inlineStr">
        <is>
          <t>Empleado</t>
        </is>
      </c>
    </row>
    <row r="13">
      <c r="B13" s="13" t="inlineStr">
        <is>
          <t>Segundo colaborador de soporte</t>
        </is>
      </c>
      <c r="C13" s="15" t="n">
        <v>1800000</v>
      </c>
      <c r="D13" s="15" t="n">
        <v>42</v>
      </c>
      <c r="E13" s="3" t="inlineStr">
        <is>
          <t>Empleado</t>
        </is>
      </c>
    </row>
    <row r="14"/>
    <row r="15"/>
    <row r="16">
      <c r="B16" s="9" t="inlineStr">
        <is>
          <t>Retiro de los socios como % de su salario de mercado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C17" s="11" t="n">
        <v>2027</v>
      </c>
      <c r="D17" s="11" t="n">
        <v>2028</v>
      </c>
      <c r="E17" s="11" t="n">
        <v>2029</v>
      </c>
      <c r="F17" s="11" t="n">
        <v>2030</v>
      </c>
    </row>
    <row r="18">
      <c r="B18" s="13" t="inlineStr">
        <is>
          <t>% del salario de mercado que retira cada socio</t>
        </is>
      </c>
      <c r="C18" s="14" t="n">
        <v>0.15</v>
      </c>
      <c r="D18" s="14" t="n">
        <v>0.35</v>
      </c>
      <c r="E18" s="14" t="n">
        <v>0.6</v>
      </c>
      <c r="F18" s="14" t="n">
        <v>1</v>
      </c>
      <c r="H18" s="3" t="inlineStr">
        <is>
          <t>Decisión propia. El año 1 es un retiro de subsistencia y supone que los socios sostienen ese año con otro ingreso; la brecha contra el 100 % es su aporte al proyecto</t>
        </is>
      </c>
    </row>
    <row r="19"/>
    <row r="20">
      <c r="B20" s="9" t="inlineStr">
        <is>
          <t>Cargas sociales sobre el salario bruto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B21" s="13" t="inlineStr">
        <is>
          <t>Jubilación (SIPA)</t>
        </is>
      </c>
      <c r="C21" s="38" t="n">
        <v>0.1017</v>
      </c>
      <c r="H21" s="3" t="inlineStr">
        <is>
          <t>Decreto 814/01, inciso b</t>
        </is>
      </c>
    </row>
    <row r="22">
      <c r="B22" s="13" t="inlineStr">
        <is>
          <t>PAMI (Ley 19.032)</t>
        </is>
      </c>
      <c r="C22" s="38" t="n">
        <v>0.015</v>
      </c>
      <c r="H22" s="3" t="inlineStr">
        <is>
          <t>Decreto 814/01, inciso b</t>
        </is>
      </c>
    </row>
    <row r="23">
      <c r="B23" s="13" t="inlineStr">
        <is>
          <t>Asignaciones familiares</t>
        </is>
      </c>
      <c r="C23" s="38" t="n">
        <v>0.0444</v>
      </c>
      <c r="H23" s="3" t="inlineStr">
        <is>
          <t>Decreto 814/01, inciso b</t>
        </is>
      </c>
    </row>
    <row r="24">
      <c r="B24" s="13" t="inlineStr">
        <is>
          <t>Fondo Nacional de Empleo</t>
        </is>
      </c>
      <c r="C24" s="38" t="n">
        <v>0.0089</v>
      </c>
      <c r="H24" s="3" t="inlineStr">
        <is>
          <t>Decreto 814/01, inciso b</t>
        </is>
      </c>
    </row>
    <row r="25">
      <c r="B25" s="13" t="inlineStr">
        <is>
          <t>Obra social</t>
        </is>
      </c>
      <c r="C25" s="38" t="n">
        <v>0.06</v>
      </c>
      <c r="H25" s="3" t="inlineStr">
        <is>
          <t>Ley 23.660: 6 % a cargo del empleador</t>
        </is>
      </c>
    </row>
    <row r="26">
      <c r="B26" s="13" t="inlineStr">
        <is>
          <t>ART (Ley 24.557)</t>
        </is>
      </c>
      <c r="C26" s="38" t="n">
        <v>0.035</v>
      </c>
      <c r="H26" s="3" t="inlineStr">
        <is>
          <t>Alícuota de una aseguradora para actividad de servicios informáticos, sin siniestralidad previa. Es el concepto que faltaba: sin él las cargas quedaban en 23 %</t>
        </is>
      </c>
    </row>
    <row r="27">
      <c r="B27" s="13" t="inlineStr">
        <is>
          <t>Seguro de vida obligatorio</t>
        </is>
      </c>
      <c r="C27" s="38" t="n">
        <v>0.003</v>
      </c>
      <c r="H27" s="3" t="inlineStr">
        <is>
          <t>Decreto 1567/74, suma fija llevada a porcentaje sobre la nómina del modelo</t>
        </is>
      </c>
    </row>
    <row r="28">
      <c r="B28" s="20" t="inlineStr">
        <is>
          <t>Total de cargas</t>
        </is>
      </c>
      <c r="C28" s="21">
        <f>SUM(C21:C27)</f>
        <v/>
      </c>
      <c r="H28" s="3" t="inlineStr">
        <is>
          <t>La Clase 3 ubica las contribuciones patronales entre el 25 % y el 30 % de la nómina. Con la ART y el seguro de vida el modelo cae dentro de ese rango</t>
        </is>
      </c>
    </row>
    <row r="29"/>
    <row r="30">
      <c r="B30" s="9" t="inlineStr">
        <is>
          <t>Encuadre laboral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B31" s="13" t="inlineStr">
        <is>
          <t>Convenio colectivo aplicable</t>
        </is>
      </c>
      <c r="C31" s="24" t="inlineStr">
        <is>
          <t>Ninguno. El personal de desarrollo y soporte de software se contrata fuera de convenio, bajo el régimen general de la Ley de Contrato de Trabajo 20.744</t>
        </is>
      </c>
    </row>
    <row r="32">
      <c r="B32" s="13" t="inlineStr">
        <is>
          <t>Por qué no aplica un CCT</t>
        </is>
      </c>
      <c r="C32" s="24" t="inlineStr">
        <is>
          <t>No existe convenio colectivo propio de la actividad del software en la Argentina. El CCT 130/75 (Empleados de Comercio) alcanzaría sólo a personal administrativo, que esta plantilla no tiene</t>
        </is>
      </c>
    </row>
    <row r="33">
      <c r="B33" s="13" t="inlineStr">
        <is>
          <t>Qué implica para el modelo</t>
        </is>
      </c>
      <c r="C33" s="24" t="inlineStr">
        <is>
          <t>Los aumentos salariales no siguen una paritaria: son política propia, y por eso el supuesto de la hoja Hipótesis los fija sobre la inflación en lugar de tomarlos de un acuerdo</t>
        </is>
      </c>
    </row>
    <row r="34">
      <c r="B34" s="13" t="inlineStr">
        <is>
          <t>Aguinaldo (SAC, Ley 23.041)</t>
        </is>
      </c>
      <c r="C34" s="24" t="inlineStr">
        <is>
          <t>Medio sueldo en junio y medio en diciembre. Está en el modelo: esos dos meses pagan 1,5 sueldos</t>
        </is>
      </c>
    </row>
    <row r="35">
      <c r="B35" s="13" t="inlineStr">
        <is>
          <t>Vacaciones</t>
        </is>
      </c>
      <c r="C35" s="24" t="inlineStr">
        <is>
          <t>No se modelan como costo aparte: el sueldo se paga igual durante la licencia y la plantilla no se reemplaza</t>
        </is>
      </c>
    </row>
    <row r="36"/>
    <row r="37">
      <c r="C37" s="5" t="n">
        <v>2027</v>
      </c>
    </row>
    <row r="38">
      <c r="C38" s="26" t="inlineStr">
        <is>
          <t>Ene</t>
        </is>
      </c>
      <c r="D38" s="26" t="inlineStr">
        <is>
          <t>Feb</t>
        </is>
      </c>
      <c r="E38" s="26" t="inlineStr">
        <is>
          <t>Mar</t>
        </is>
      </c>
      <c r="F38" s="26" t="inlineStr">
        <is>
          <t>Abr</t>
        </is>
      </c>
      <c r="G38" s="26" t="inlineStr">
        <is>
          <t>May</t>
        </is>
      </c>
      <c r="H38" s="26" t="inlineStr">
        <is>
          <t>Jun</t>
        </is>
      </c>
      <c r="I38" s="26" t="inlineStr">
        <is>
          <t>Jul</t>
        </is>
      </c>
      <c r="J38" s="26" t="inlineStr">
        <is>
          <t>Ago</t>
        </is>
      </c>
      <c r="K38" s="26" t="inlineStr">
        <is>
          <t>Sep</t>
        </is>
      </c>
      <c r="L38" s="26" t="inlineStr">
        <is>
          <t>Oct</t>
        </is>
      </c>
      <c r="M38" s="26" t="inlineStr">
        <is>
          <t>Nov</t>
        </is>
      </c>
      <c r="N38" s="26" t="inlineStr">
        <is>
          <t>Dic</t>
        </is>
      </c>
      <c r="O38" s="27" t="inlineStr">
        <is>
          <t>Total 2027</t>
        </is>
      </c>
    </row>
    <row r="39">
      <c r="B39" s="9" t="inlineStr">
        <is>
          <t>Salarios brutos por rol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20" t="inlineStr">
        <is>
          <t>SUELDOS</t>
        </is>
      </c>
      <c r="B40" s="13" t="inlineStr">
        <is>
          <t>Responsable de Producto y Desarrollo (socio)</t>
        </is>
      </c>
      <c r="C40" s="28">
        <f>IF(1&lt;$D$8,0,$C$8*1*1*$C$18)</f>
        <v/>
      </c>
      <c r="D40" s="28">
        <f>IF(2&lt;$D$8,0,$C$8*1*1*$C$18)</f>
        <v/>
      </c>
      <c r="E40" s="28">
        <f>IF(3&lt;$D$8,0,$C$8*1*1*$C$18)</f>
        <v/>
      </c>
      <c r="F40" s="28">
        <f>IF(4&lt;$D$8,0,$C$8*1*1*$C$18)</f>
        <v/>
      </c>
      <c r="G40" s="28">
        <f>IF(5&lt;$D$8,0,$C$8*1*1*$C$18)</f>
        <v/>
      </c>
      <c r="H40" s="28">
        <f>IF(6&lt;$D$8,0,$C$8*1*1.5*$C$18)</f>
        <v/>
      </c>
      <c r="I40" s="28">
        <f>IF(7&lt;$D$8,0,$C$8*1*1*$C$18)</f>
        <v/>
      </c>
      <c r="J40" s="28">
        <f>IF(8&lt;$D$8,0,$C$8*1*1*$C$18)</f>
        <v/>
      </c>
      <c r="K40" s="28">
        <f>IF(9&lt;$D$8,0,$C$8*1*1*$C$18)</f>
        <v/>
      </c>
      <c r="L40" s="28">
        <f>IF(10&lt;$D$8,0,$C$8*1*1*$C$18)</f>
        <v/>
      </c>
      <c r="M40" s="28">
        <f>IF(11&lt;$D$8,0,$C$8*1*1*$C$18)</f>
        <v/>
      </c>
      <c r="N40" s="28">
        <f>IF(12&lt;$D$8,0,$C$8*1*1.5*$C$18)</f>
        <v/>
      </c>
      <c r="O40" s="29">
        <f>SUM(C40:N40)</f>
        <v/>
      </c>
    </row>
    <row r="41">
      <c r="B41" s="13" t="inlineStr">
        <is>
          <t>Responsable Comercial y de Cuentas (socio)</t>
        </is>
      </c>
      <c r="C41" s="28">
        <f>IF(1&lt;$D$9,0,$C$9*1*1*$C$18)</f>
        <v/>
      </c>
      <c r="D41" s="28">
        <f>IF(2&lt;$D$9,0,$C$9*1*1*$C$18)</f>
        <v/>
      </c>
      <c r="E41" s="28">
        <f>IF(3&lt;$D$9,0,$C$9*1*1*$C$18)</f>
        <v/>
      </c>
      <c r="F41" s="28">
        <f>IF(4&lt;$D$9,0,$C$9*1*1*$C$18)</f>
        <v/>
      </c>
      <c r="G41" s="28">
        <f>IF(5&lt;$D$9,0,$C$9*1*1*$C$18)</f>
        <v/>
      </c>
      <c r="H41" s="28">
        <f>IF(6&lt;$D$9,0,$C$9*1*1.5*$C$18)</f>
        <v/>
      </c>
      <c r="I41" s="28">
        <f>IF(7&lt;$D$9,0,$C$9*1*1*$C$18)</f>
        <v/>
      </c>
      <c r="J41" s="28">
        <f>IF(8&lt;$D$9,0,$C$9*1*1*$C$18)</f>
        <v/>
      </c>
      <c r="K41" s="28">
        <f>IF(9&lt;$D$9,0,$C$9*1*1*$C$18)</f>
        <v/>
      </c>
      <c r="L41" s="28">
        <f>IF(10&lt;$D$9,0,$C$9*1*1*$C$18)</f>
        <v/>
      </c>
      <c r="M41" s="28">
        <f>IF(11&lt;$D$9,0,$C$9*1*1*$C$18)</f>
        <v/>
      </c>
      <c r="N41" s="28">
        <f>IF(12&lt;$D$9,0,$C$9*1*1.5*$C$18)</f>
        <v/>
      </c>
      <c r="O41" s="29">
        <f>SUM(C41:N41)</f>
        <v/>
      </c>
    </row>
    <row r="42">
      <c r="B42" s="13" t="inlineStr">
        <is>
          <t>Responsable de Soporte y Onboarding</t>
        </is>
      </c>
      <c r="C42" s="28">
        <f>IF(1&lt;$D$10,0,$C$10*1*1)</f>
        <v/>
      </c>
      <c r="D42" s="28">
        <f>IF(2&lt;$D$10,0,$C$10*1*1)</f>
        <v/>
      </c>
      <c r="E42" s="28">
        <f>IF(3&lt;$D$10,0,$C$10*1*1)</f>
        <v/>
      </c>
      <c r="F42" s="28">
        <f>IF(4&lt;$D$10,0,$C$10*1*1)</f>
        <v/>
      </c>
      <c r="G42" s="28">
        <f>IF(5&lt;$D$10,0,$C$10*1*1)</f>
        <v/>
      </c>
      <c r="H42" s="28">
        <f>IF(6&lt;$D$10,0,$C$10*1*1.5)</f>
        <v/>
      </c>
      <c r="I42" s="28">
        <f>IF(7&lt;$D$10,0,$C$10*1*1)</f>
        <v/>
      </c>
      <c r="J42" s="28">
        <f>IF(8&lt;$D$10,0,$C$10*1*1)</f>
        <v/>
      </c>
      <c r="K42" s="28">
        <f>IF(9&lt;$D$10,0,$C$10*1*1)</f>
        <v/>
      </c>
      <c r="L42" s="28">
        <f>IF(10&lt;$D$10,0,$C$10*1*1)</f>
        <v/>
      </c>
      <c r="M42" s="28">
        <f>IF(11&lt;$D$10,0,$C$10*1*1)</f>
        <v/>
      </c>
      <c r="N42" s="28">
        <f>IF(12&lt;$D$10,0,$C$10*1*1.5)</f>
        <v/>
      </c>
      <c r="O42" s="29">
        <f>SUM(C42:N42)</f>
        <v/>
      </c>
    </row>
    <row r="43">
      <c r="B43" s="13" t="inlineStr">
        <is>
          <t>Colaborador de desarrollo</t>
        </is>
      </c>
      <c r="C43" s="28">
        <f>IF(1&lt;$D$11,0,$C$11*1*1)</f>
        <v/>
      </c>
      <c r="D43" s="28">
        <f>IF(2&lt;$D$11,0,$C$11*1*1)</f>
        <v/>
      </c>
      <c r="E43" s="28">
        <f>IF(3&lt;$D$11,0,$C$11*1*1)</f>
        <v/>
      </c>
      <c r="F43" s="28">
        <f>IF(4&lt;$D$11,0,$C$11*1*1)</f>
        <v/>
      </c>
      <c r="G43" s="28">
        <f>IF(5&lt;$D$11,0,$C$11*1*1)</f>
        <v/>
      </c>
      <c r="H43" s="28">
        <f>IF(6&lt;$D$11,0,$C$11*1*1.5)</f>
        <v/>
      </c>
      <c r="I43" s="28">
        <f>IF(7&lt;$D$11,0,$C$11*1*1)</f>
        <v/>
      </c>
      <c r="J43" s="28">
        <f>IF(8&lt;$D$11,0,$C$11*1*1)</f>
        <v/>
      </c>
      <c r="K43" s="28">
        <f>IF(9&lt;$D$11,0,$C$11*1*1)</f>
        <v/>
      </c>
      <c r="L43" s="28">
        <f>IF(10&lt;$D$11,0,$C$11*1*1)</f>
        <v/>
      </c>
      <c r="M43" s="28">
        <f>IF(11&lt;$D$11,0,$C$11*1*1)</f>
        <v/>
      </c>
      <c r="N43" s="28">
        <f>IF(12&lt;$D$11,0,$C$11*1*1.5)</f>
        <v/>
      </c>
      <c r="O43" s="29">
        <f>SUM(C43:N43)</f>
        <v/>
      </c>
    </row>
    <row r="44">
      <c r="B44" s="13" t="inlineStr">
        <is>
          <t>Responsable de Marketing y Contenidos</t>
        </is>
      </c>
      <c r="C44" s="28">
        <f>IF(1&lt;$D$12,0,$C$12*1*1)</f>
        <v/>
      </c>
      <c r="D44" s="28">
        <f>IF(2&lt;$D$12,0,$C$12*1*1)</f>
        <v/>
      </c>
      <c r="E44" s="28">
        <f>IF(3&lt;$D$12,0,$C$12*1*1)</f>
        <v/>
      </c>
      <c r="F44" s="28">
        <f>IF(4&lt;$D$12,0,$C$12*1*1)</f>
        <v/>
      </c>
      <c r="G44" s="28">
        <f>IF(5&lt;$D$12,0,$C$12*1*1)</f>
        <v/>
      </c>
      <c r="H44" s="28">
        <f>IF(6&lt;$D$12,0,$C$12*1*1.5)</f>
        <v/>
      </c>
      <c r="I44" s="28">
        <f>IF(7&lt;$D$12,0,$C$12*1*1)</f>
        <v/>
      </c>
      <c r="J44" s="28">
        <f>IF(8&lt;$D$12,0,$C$12*1*1)</f>
        <v/>
      </c>
      <c r="K44" s="28">
        <f>IF(9&lt;$D$12,0,$C$12*1*1)</f>
        <v/>
      </c>
      <c r="L44" s="28">
        <f>IF(10&lt;$D$12,0,$C$12*1*1)</f>
        <v/>
      </c>
      <c r="M44" s="28">
        <f>IF(11&lt;$D$12,0,$C$12*1*1)</f>
        <v/>
      </c>
      <c r="N44" s="28">
        <f>IF(12&lt;$D$12,0,$C$12*1*1.5)</f>
        <v/>
      </c>
      <c r="O44" s="29">
        <f>SUM(C44:N44)</f>
        <v/>
      </c>
    </row>
    <row r="45">
      <c r="B45" s="13" t="inlineStr">
        <is>
          <t>Segundo colaborador de soporte</t>
        </is>
      </c>
      <c r="C45" s="28">
        <f>IF(1&lt;$D$13,0,$C$13*1*1)</f>
        <v/>
      </c>
      <c r="D45" s="28">
        <f>IF(2&lt;$D$13,0,$C$13*1*1)</f>
        <v/>
      </c>
      <c r="E45" s="28">
        <f>IF(3&lt;$D$13,0,$C$13*1*1)</f>
        <v/>
      </c>
      <c r="F45" s="28">
        <f>IF(4&lt;$D$13,0,$C$13*1*1)</f>
        <v/>
      </c>
      <c r="G45" s="28">
        <f>IF(5&lt;$D$13,0,$C$13*1*1)</f>
        <v/>
      </c>
      <c r="H45" s="28">
        <f>IF(6&lt;$D$13,0,$C$13*1*1.5)</f>
        <v/>
      </c>
      <c r="I45" s="28">
        <f>IF(7&lt;$D$13,0,$C$13*1*1)</f>
        <v/>
      </c>
      <c r="J45" s="28">
        <f>IF(8&lt;$D$13,0,$C$13*1*1)</f>
        <v/>
      </c>
      <c r="K45" s="28">
        <f>IF(9&lt;$D$13,0,$C$13*1*1)</f>
        <v/>
      </c>
      <c r="L45" s="28">
        <f>IF(10&lt;$D$13,0,$C$13*1*1)</f>
        <v/>
      </c>
      <c r="M45" s="28">
        <f>IF(11&lt;$D$13,0,$C$13*1*1)</f>
        <v/>
      </c>
      <c r="N45" s="28">
        <f>IF(12&lt;$D$13,0,$C$13*1*1.5)</f>
        <v/>
      </c>
      <c r="O45" s="29">
        <f>SUM(C45:N45)</f>
        <v/>
      </c>
    </row>
    <row r="46">
      <c r="B46" s="20" t="inlineStr">
        <is>
          <t>Total de salarios brutos</t>
        </is>
      </c>
      <c r="C46" s="18">
        <f>SUM(C40:C45)</f>
        <v/>
      </c>
      <c r="D46" s="18">
        <f>SUM(D40:D45)</f>
        <v/>
      </c>
      <c r="E46" s="18">
        <f>SUM(E40:E45)</f>
        <v/>
      </c>
      <c r="F46" s="18">
        <f>SUM(F40:F45)</f>
        <v/>
      </c>
      <c r="G46" s="18">
        <f>SUM(G40:G45)</f>
        <v/>
      </c>
      <c r="H46" s="18">
        <f>SUM(H40:H45)</f>
        <v/>
      </c>
      <c r="I46" s="18">
        <f>SUM(I40:I45)</f>
        <v/>
      </c>
      <c r="J46" s="18">
        <f>SUM(J40:J45)</f>
        <v/>
      </c>
      <c r="K46" s="18">
        <f>SUM(K40:K45)</f>
        <v/>
      </c>
      <c r="L46" s="18">
        <f>SUM(L40:L45)</f>
        <v/>
      </c>
      <c r="M46" s="18">
        <f>SUM(M40:M45)</f>
        <v/>
      </c>
      <c r="N46" s="18">
        <f>SUM(N40:N45)</f>
        <v/>
      </c>
      <c r="O46" s="29">
        <f>SUM(C46:N46)</f>
        <v/>
      </c>
    </row>
    <row r="47">
      <c r="B47" s="13" t="inlineStr">
        <is>
          <t xml:space="preserve">    Cargas sociales</t>
        </is>
      </c>
      <c r="C47" s="28">
        <f>C46*$C$28</f>
        <v/>
      </c>
      <c r="D47" s="28">
        <f>D46*$C$28</f>
        <v/>
      </c>
      <c r="E47" s="28">
        <f>E46*$C$28</f>
        <v/>
      </c>
      <c r="F47" s="28">
        <f>F46*$C$28</f>
        <v/>
      </c>
      <c r="G47" s="28">
        <f>G46*$C$28</f>
        <v/>
      </c>
      <c r="H47" s="28">
        <f>H46*$C$28</f>
        <v/>
      </c>
      <c r="I47" s="28">
        <f>I46*$C$28</f>
        <v/>
      </c>
      <c r="J47" s="28">
        <f>J46*$C$28</f>
        <v/>
      </c>
      <c r="K47" s="28">
        <f>K46*$C$28</f>
        <v/>
      </c>
      <c r="L47" s="28">
        <f>L46*$C$28</f>
        <v/>
      </c>
      <c r="M47" s="28">
        <f>M46*$C$28</f>
        <v/>
      </c>
      <c r="N47" s="28">
        <f>N46*$C$28</f>
        <v/>
      </c>
      <c r="O47" s="29">
        <f>SUM(C47:N47)</f>
        <v/>
      </c>
    </row>
    <row r="48">
      <c r="A48" s="20" t="inlineStr">
        <is>
          <t>TOTAL</t>
        </is>
      </c>
      <c r="B48" s="20" t="inlineStr">
        <is>
          <t>Costo total de RRHH</t>
        </is>
      </c>
      <c r="C48" s="18">
        <f>C46+C47</f>
        <v/>
      </c>
      <c r="D48" s="18">
        <f>D46+D47</f>
        <v/>
      </c>
      <c r="E48" s="18">
        <f>E46+E47</f>
        <v/>
      </c>
      <c r="F48" s="18">
        <f>F46+F47</f>
        <v/>
      </c>
      <c r="G48" s="18">
        <f>G46+G47</f>
        <v/>
      </c>
      <c r="H48" s="18">
        <f>H46+H47</f>
        <v/>
      </c>
      <c r="I48" s="18">
        <f>I46+I47</f>
        <v/>
      </c>
      <c r="J48" s="18">
        <f>J46+J47</f>
        <v/>
      </c>
      <c r="K48" s="18">
        <f>K46+K47</f>
        <v/>
      </c>
      <c r="L48" s="18">
        <f>L46+L47</f>
        <v/>
      </c>
      <c r="M48" s="18">
        <f>M46+M47</f>
        <v/>
      </c>
      <c r="N48" s="18">
        <f>N46+N47</f>
        <v/>
      </c>
      <c r="O48" s="29">
        <f>SUM(C48:N48)</f>
        <v/>
      </c>
    </row>
    <row r="49">
      <c r="B49" s="13" t="inlineStr">
        <is>
          <t xml:space="preserve">    Personas en la plantilla</t>
        </is>
      </c>
      <c r="C49" s="28">
        <f>COUNTIF(C40:C45,"&gt;0")</f>
        <v/>
      </c>
      <c r="D49" s="28">
        <f>COUNTIF(D40:D45,"&gt;0")</f>
        <v/>
      </c>
      <c r="E49" s="28">
        <f>COUNTIF(E40:E45,"&gt;0")</f>
        <v/>
      </c>
      <c r="F49" s="28">
        <f>COUNTIF(F40:F45,"&gt;0")</f>
        <v/>
      </c>
      <c r="G49" s="28">
        <f>COUNTIF(G40:G45,"&gt;0")</f>
        <v/>
      </c>
      <c r="H49" s="28">
        <f>COUNTIF(H40:H45,"&gt;0")</f>
        <v/>
      </c>
      <c r="I49" s="28">
        <f>COUNTIF(I40:I45,"&gt;0")</f>
        <v/>
      </c>
      <c r="J49" s="28">
        <f>COUNTIF(J40:J45,"&gt;0")</f>
        <v/>
      </c>
      <c r="K49" s="28">
        <f>COUNTIF(K40:K45,"&gt;0")</f>
        <v/>
      </c>
      <c r="L49" s="28">
        <f>COUNTIF(L40:L45,"&gt;0")</f>
        <v/>
      </c>
      <c r="M49" s="28">
        <f>COUNTIF(M40:M45,"&gt;0")</f>
        <v/>
      </c>
      <c r="N49" s="28">
        <f>COUNTIF(N40:N45,"&gt;0")</f>
        <v/>
      </c>
      <c r="O49" s="29">
        <f>N49</f>
        <v/>
      </c>
    </row>
    <row r="50"/>
    <row r="51"/>
    <row r="52">
      <c r="C52" s="5" t="n">
        <v>2028</v>
      </c>
    </row>
    <row r="53">
      <c r="C53" s="26" t="inlineStr">
        <is>
          <t>Ene</t>
        </is>
      </c>
      <c r="D53" s="26" t="inlineStr">
        <is>
          <t>Feb</t>
        </is>
      </c>
      <c r="E53" s="26" t="inlineStr">
        <is>
          <t>Mar</t>
        </is>
      </c>
      <c r="F53" s="26" t="inlineStr">
        <is>
          <t>Abr</t>
        </is>
      </c>
      <c r="G53" s="26" t="inlineStr">
        <is>
          <t>May</t>
        </is>
      </c>
      <c r="H53" s="26" t="inlineStr">
        <is>
          <t>Jun</t>
        </is>
      </c>
      <c r="I53" s="26" t="inlineStr">
        <is>
          <t>Jul</t>
        </is>
      </c>
      <c r="J53" s="26" t="inlineStr">
        <is>
          <t>Ago</t>
        </is>
      </c>
      <c r="K53" s="26" t="inlineStr">
        <is>
          <t>Sep</t>
        </is>
      </c>
      <c r="L53" s="26" t="inlineStr">
        <is>
          <t>Oct</t>
        </is>
      </c>
      <c r="M53" s="26" t="inlineStr">
        <is>
          <t>Nov</t>
        </is>
      </c>
      <c r="N53" s="26" t="inlineStr">
        <is>
          <t>Dic</t>
        </is>
      </c>
      <c r="O53" s="27" t="inlineStr">
        <is>
          <t>Total 2028</t>
        </is>
      </c>
    </row>
    <row r="54">
      <c r="B54" s="9" t="inlineStr">
        <is>
          <t>Salarios brutos por rol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20" t="inlineStr">
        <is>
          <t>SUELDOS</t>
        </is>
      </c>
      <c r="B55" s="13" t="inlineStr">
        <is>
          <t>Responsable de Producto y Desarrollo (socio)</t>
        </is>
      </c>
      <c r="C55" s="28">
        <f>IF(13&lt;$D$8,0,$C$8*(1+Hipótesis!$D$14)*1*$D$18)</f>
        <v/>
      </c>
      <c r="D55" s="28">
        <f>IF(14&lt;$D$8,0,$C$8*(1+Hipótesis!$D$14)*1*$D$18)</f>
        <v/>
      </c>
      <c r="E55" s="28">
        <f>IF(15&lt;$D$8,0,$C$8*(1+Hipótesis!$D$14)*1*$D$18)</f>
        <v/>
      </c>
      <c r="F55" s="28">
        <f>IF(16&lt;$D$8,0,$C$8*(1+Hipótesis!$D$14)*1*$D$18)</f>
        <v/>
      </c>
      <c r="G55" s="28">
        <f>IF(17&lt;$D$8,0,$C$8*(1+Hipótesis!$D$14)*1*$D$18)</f>
        <v/>
      </c>
      <c r="H55" s="28">
        <f>IF(18&lt;$D$8,0,$C$8*(1+Hipótesis!$D$14)*1.5*$D$18)</f>
        <v/>
      </c>
      <c r="I55" s="28">
        <f>IF(19&lt;$D$8,0,$C$8*(1+Hipótesis!$D$14)*1*$D$18)</f>
        <v/>
      </c>
      <c r="J55" s="28">
        <f>IF(20&lt;$D$8,0,$C$8*(1+Hipótesis!$D$14)*1*$D$18)</f>
        <v/>
      </c>
      <c r="K55" s="28">
        <f>IF(21&lt;$D$8,0,$C$8*(1+Hipótesis!$D$14)*1*$D$18)</f>
        <v/>
      </c>
      <c r="L55" s="28">
        <f>IF(22&lt;$D$8,0,$C$8*(1+Hipótesis!$D$14)*1*$D$18)</f>
        <v/>
      </c>
      <c r="M55" s="28">
        <f>IF(23&lt;$D$8,0,$C$8*(1+Hipótesis!$D$14)*1*$D$18)</f>
        <v/>
      </c>
      <c r="N55" s="28">
        <f>IF(24&lt;$D$8,0,$C$8*(1+Hipótesis!$D$14)*1.5*$D$18)</f>
        <v/>
      </c>
      <c r="O55" s="29">
        <f>SUM(C55:N55)</f>
        <v/>
      </c>
    </row>
    <row r="56">
      <c r="B56" s="13" t="inlineStr">
        <is>
          <t>Responsable Comercial y de Cuentas (socio)</t>
        </is>
      </c>
      <c r="C56" s="28">
        <f>IF(13&lt;$D$9,0,$C$9*(1+Hipótesis!$D$14)*1*$D$18)</f>
        <v/>
      </c>
      <c r="D56" s="28">
        <f>IF(14&lt;$D$9,0,$C$9*(1+Hipótesis!$D$14)*1*$D$18)</f>
        <v/>
      </c>
      <c r="E56" s="28">
        <f>IF(15&lt;$D$9,0,$C$9*(1+Hipótesis!$D$14)*1*$D$18)</f>
        <v/>
      </c>
      <c r="F56" s="28">
        <f>IF(16&lt;$D$9,0,$C$9*(1+Hipótesis!$D$14)*1*$D$18)</f>
        <v/>
      </c>
      <c r="G56" s="28">
        <f>IF(17&lt;$D$9,0,$C$9*(1+Hipótesis!$D$14)*1*$D$18)</f>
        <v/>
      </c>
      <c r="H56" s="28">
        <f>IF(18&lt;$D$9,0,$C$9*(1+Hipótesis!$D$14)*1.5*$D$18)</f>
        <v/>
      </c>
      <c r="I56" s="28">
        <f>IF(19&lt;$D$9,0,$C$9*(1+Hipótesis!$D$14)*1*$D$18)</f>
        <v/>
      </c>
      <c r="J56" s="28">
        <f>IF(20&lt;$D$9,0,$C$9*(1+Hipótesis!$D$14)*1*$D$18)</f>
        <v/>
      </c>
      <c r="K56" s="28">
        <f>IF(21&lt;$D$9,0,$C$9*(1+Hipótesis!$D$14)*1*$D$18)</f>
        <v/>
      </c>
      <c r="L56" s="28">
        <f>IF(22&lt;$D$9,0,$C$9*(1+Hipótesis!$D$14)*1*$D$18)</f>
        <v/>
      </c>
      <c r="M56" s="28">
        <f>IF(23&lt;$D$9,0,$C$9*(1+Hipótesis!$D$14)*1*$D$18)</f>
        <v/>
      </c>
      <c r="N56" s="28">
        <f>IF(24&lt;$D$9,0,$C$9*(1+Hipótesis!$D$14)*1.5*$D$18)</f>
        <v/>
      </c>
      <c r="O56" s="29">
        <f>SUM(C56:N56)</f>
        <v/>
      </c>
    </row>
    <row r="57">
      <c r="B57" s="13" t="inlineStr">
        <is>
          <t>Responsable de Soporte y Onboarding</t>
        </is>
      </c>
      <c r="C57" s="28">
        <f>IF(13&lt;$D$10,0,$C$10*(1+Hipótesis!$D$14)*1)</f>
        <v/>
      </c>
      <c r="D57" s="28">
        <f>IF(14&lt;$D$10,0,$C$10*(1+Hipótesis!$D$14)*1)</f>
        <v/>
      </c>
      <c r="E57" s="28">
        <f>IF(15&lt;$D$10,0,$C$10*(1+Hipótesis!$D$14)*1)</f>
        <v/>
      </c>
      <c r="F57" s="28">
        <f>IF(16&lt;$D$10,0,$C$10*(1+Hipótesis!$D$14)*1)</f>
        <v/>
      </c>
      <c r="G57" s="28">
        <f>IF(17&lt;$D$10,0,$C$10*(1+Hipótesis!$D$14)*1)</f>
        <v/>
      </c>
      <c r="H57" s="28">
        <f>IF(18&lt;$D$10,0,$C$10*(1+Hipótesis!$D$14)*1.5)</f>
        <v/>
      </c>
      <c r="I57" s="28">
        <f>IF(19&lt;$D$10,0,$C$10*(1+Hipótesis!$D$14)*1)</f>
        <v/>
      </c>
      <c r="J57" s="28">
        <f>IF(20&lt;$D$10,0,$C$10*(1+Hipótesis!$D$14)*1)</f>
        <v/>
      </c>
      <c r="K57" s="28">
        <f>IF(21&lt;$D$10,0,$C$10*(1+Hipótesis!$D$14)*1)</f>
        <v/>
      </c>
      <c r="L57" s="28">
        <f>IF(22&lt;$D$10,0,$C$10*(1+Hipótesis!$D$14)*1)</f>
        <v/>
      </c>
      <c r="M57" s="28">
        <f>IF(23&lt;$D$10,0,$C$10*(1+Hipótesis!$D$14)*1)</f>
        <v/>
      </c>
      <c r="N57" s="28">
        <f>IF(24&lt;$D$10,0,$C$10*(1+Hipótesis!$D$14)*1.5)</f>
        <v/>
      </c>
      <c r="O57" s="29">
        <f>SUM(C57:N57)</f>
        <v/>
      </c>
    </row>
    <row r="58">
      <c r="B58" s="13" t="inlineStr">
        <is>
          <t>Colaborador de desarrollo</t>
        </is>
      </c>
      <c r="C58" s="28">
        <f>IF(13&lt;$D$11,0,$C$11*(1+Hipótesis!$D$14)*1)</f>
        <v/>
      </c>
      <c r="D58" s="28">
        <f>IF(14&lt;$D$11,0,$C$11*(1+Hipótesis!$D$14)*1)</f>
        <v/>
      </c>
      <c r="E58" s="28">
        <f>IF(15&lt;$D$11,0,$C$11*(1+Hipótesis!$D$14)*1)</f>
        <v/>
      </c>
      <c r="F58" s="28">
        <f>IF(16&lt;$D$11,0,$C$11*(1+Hipótesis!$D$14)*1)</f>
        <v/>
      </c>
      <c r="G58" s="28">
        <f>IF(17&lt;$D$11,0,$C$11*(1+Hipótesis!$D$14)*1)</f>
        <v/>
      </c>
      <c r="H58" s="28">
        <f>IF(18&lt;$D$11,0,$C$11*(1+Hipótesis!$D$14)*1.5)</f>
        <v/>
      </c>
      <c r="I58" s="28">
        <f>IF(19&lt;$D$11,0,$C$11*(1+Hipótesis!$D$14)*1)</f>
        <v/>
      </c>
      <c r="J58" s="28">
        <f>IF(20&lt;$D$11,0,$C$11*(1+Hipótesis!$D$14)*1)</f>
        <v/>
      </c>
      <c r="K58" s="28">
        <f>IF(21&lt;$D$11,0,$C$11*(1+Hipótesis!$D$14)*1)</f>
        <v/>
      </c>
      <c r="L58" s="28">
        <f>IF(22&lt;$D$11,0,$C$11*(1+Hipótesis!$D$14)*1)</f>
        <v/>
      </c>
      <c r="M58" s="28">
        <f>IF(23&lt;$D$11,0,$C$11*(1+Hipótesis!$D$14)*1)</f>
        <v/>
      </c>
      <c r="N58" s="28">
        <f>IF(24&lt;$D$11,0,$C$11*(1+Hipótesis!$D$14)*1.5)</f>
        <v/>
      </c>
      <c r="O58" s="29">
        <f>SUM(C58:N58)</f>
        <v/>
      </c>
    </row>
    <row r="59">
      <c r="B59" s="13" t="inlineStr">
        <is>
          <t>Responsable de Marketing y Contenidos</t>
        </is>
      </c>
      <c r="C59" s="28">
        <f>IF(13&lt;$D$12,0,$C$12*(1+Hipótesis!$D$14)*1)</f>
        <v/>
      </c>
      <c r="D59" s="28">
        <f>IF(14&lt;$D$12,0,$C$12*(1+Hipótesis!$D$14)*1)</f>
        <v/>
      </c>
      <c r="E59" s="28">
        <f>IF(15&lt;$D$12,0,$C$12*(1+Hipótesis!$D$14)*1)</f>
        <v/>
      </c>
      <c r="F59" s="28">
        <f>IF(16&lt;$D$12,0,$C$12*(1+Hipótesis!$D$14)*1)</f>
        <v/>
      </c>
      <c r="G59" s="28">
        <f>IF(17&lt;$D$12,0,$C$12*(1+Hipótesis!$D$14)*1)</f>
        <v/>
      </c>
      <c r="H59" s="28">
        <f>IF(18&lt;$D$12,0,$C$12*(1+Hipótesis!$D$14)*1.5)</f>
        <v/>
      </c>
      <c r="I59" s="28">
        <f>IF(19&lt;$D$12,0,$C$12*(1+Hipótesis!$D$14)*1)</f>
        <v/>
      </c>
      <c r="J59" s="28">
        <f>IF(20&lt;$D$12,0,$C$12*(1+Hipótesis!$D$14)*1)</f>
        <v/>
      </c>
      <c r="K59" s="28">
        <f>IF(21&lt;$D$12,0,$C$12*(1+Hipótesis!$D$14)*1)</f>
        <v/>
      </c>
      <c r="L59" s="28">
        <f>IF(22&lt;$D$12,0,$C$12*(1+Hipótesis!$D$14)*1)</f>
        <v/>
      </c>
      <c r="M59" s="28">
        <f>IF(23&lt;$D$12,0,$C$12*(1+Hipótesis!$D$14)*1)</f>
        <v/>
      </c>
      <c r="N59" s="28">
        <f>IF(24&lt;$D$12,0,$C$12*(1+Hipótesis!$D$14)*1.5)</f>
        <v/>
      </c>
      <c r="O59" s="29">
        <f>SUM(C59:N59)</f>
        <v/>
      </c>
    </row>
    <row r="60">
      <c r="B60" s="13" t="inlineStr">
        <is>
          <t>Segundo colaborador de soporte</t>
        </is>
      </c>
      <c r="C60" s="28">
        <f>IF(13&lt;$D$13,0,$C$13*(1+Hipótesis!$D$14)*1)</f>
        <v/>
      </c>
      <c r="D60" s="28">
        <f>IF(14&lt;$D$13,0,$C$13*(1+Hipótesis!$D$14)*1)</f>
        <v/>
      </c>
      <c r="E60" s="28">
        <f>IF(15&lt;$D$13,0,$C$13*(1+Hipótesis!$D$14)*1)</f>
        <v/>
      </c>
      <c r="F60" s="28">
        <f>IF(16&lt;$D$13,0,$C$13*(1+Hipótesis!$D$14)*1)</f>
        <v/>
      </c>
      <c r="G60" s="28">
        <f>IF(17&lt;$D$13,0,$C$13*(1+Hipótesis!$D$14)*1)</f>
        <v/>
      </c>
      <c r="H60" s="28">
        <f>IF(18&lt;$D$13,0,$C$13*(1+Hipótesis!$D$14)*1.5)</f>
        <v/>
      </c>
      <c r="I60" s="28">
        <f>IF(19&lt;$D$13,0,$C$13*(1+Hipótesis!$D$14)*1)</f>
        <v/>
      </c>
      <c r="J60" s="28">
        <f>IF(20&lt;$D$13,0,$C$13*(1+Hipótesis!$D$14)*1)</f>
        <v/>
      </c>
      <c r="K60" s="28">
        <f>IF(21&lt;$D$13,0,$C$13*(1+Hipótesis!$D$14)*1)</f>
        <v/>
      </c>
      <c r="L60" s="28">
        <f>IF(22&lt;$D$13,0,$C$13*(1+Hipótesis!$D$14)*1)</f>
        <v/>
      </c>
      <c r="M60" s="28">
        <f>IF(23&lt;$D$13,0,$C$13*(1+Hipótesis!$D$14)*1)</f>
        <v/>
      </c>
      <c r="N60" s="28">
        <f>IF(24&lt;$D$13,0,$C$13*(1+Hipótesis!$D$14)*1.5)</f>
        <v/>
      </c>
      <c r="O60" s="29">
        <f>SUM(C60:N60)</f>
        <v/>
      </c>
    </row>
    <row r="61">
      <c r="B61" s="20" t="inlineStr">
        <is>
          <t>Total de salarios brutos</t>
        </is>
      </c>
      <c r="C61" s="18">
        <f>SUM(C55:C60)</f>
        <v/>
      </c>
      <c r="D61" s="18">
        <f>SUM(D55:D60)</f>
        <v/>
      </c>
      <c r="E61" s="18">
        <f>SUM(E55:E60)</f>
        <v/>
      </c>
      <c r="F61" s="18">
        <f>SUM(F55:F60)</f>
        <v/>
      </c>
      <c r="G61" s="18">
        <f>SUM(G55:G60)</f>
        <v/>
      </c>
      <c r="H61" s="18">
        <f>SUM(H55:H60)</f>
        <v/>
      </c>
      <c r="I61" s="18">
        <f>SUM(I55:I60)</f>
        <v/>
      </c>
      <c r="J61" s="18">
        <f>SUM(J55:J60)</f>
        <v/>
      </c>
      <c r="K61" s="18">
        <f>SUM(K55:K60)</f>
        <v/>
      </c>
      <c r="L61" s="18">
        <f>SUM(L55:L60)</f>
        <v/>
      </c>
      <c r="M61" s="18">
        <f>SUM(M55:M60)</f>
        <v/>
      </c>
      <c r="N61" s="18">
        <f>SUM(N55:N60)</f>
        <v/>
      </c>
      <c r="O61" s="29">
        <f>SUM(C61:N61)</f>
        <v/>
      </c>
    </row>
    <row r="62">
      <c r="B62" s="13" t="inlineStr">
        <is>
          <t xml:space="preserve">    Cargas sociales</t>
        </is>
      </c>
      <c r="C62" s="28">
        <f>C61*$C$28</f>
        <v/>
      </c>
      <c r="D62" s="28">
        <f>D61*$C$28</f>
        <v/>
      </c>
      <c r="E62" s="28">
        <f>E61*$C$28</f>
        <v/>
      </c>
      <c r="F62" s="28">
        <f>F61*$C$28</f>
        <v/>
      </c>
      <c r="G62" s="28">
        <f>G61*$C$28</f>
        <v/>
      </c>
      <c r="H62" s="28">
        <f>H61*$C$28</f>
        <v/>
      </c>
      <c r="I62" s="28">
        <f>I61*$C$28</f>
        <v/>
      </c>
      <c r="J62" s="28">
        <f>J61*$C$28</f>
        <v/>
      </c>
      <c r="K62" s="28">
        <f>K61*$C$28</f>
        <v/>
      </c>
      <c r="L62" s="28">
        <f>L61*$C$28</f>
        <v/>
      </c>
      <c r="M62" s="28">
        <f>M61*$C$28</f>
        <v/>
      </c>
      <c r="N62" s="28">
        <f>N61*$C$28</f>
        <v/>
      </c>
      <c r="O62" s="29">
        <f>SUM(C62:N62)</f>
        <v/>
      </c>
    </row>
    <row r="63">
      <c r="A63" s="20" t="inlineStr">
        <is>
          <t>TOTAL</t>
        </is>
      </c>
      <c r="B63" s="20" t="inlineStr">
        <is>
          <t>Costo total de RRHH</t>
        </is>
      </c>
      <c r="C63" s="18">
        <f>C61+C62</f>
        <v/>
      </c>
      <c r="D63" s="18">
        <f>D61+D62</f>
        <v/>
      </c>
      <c r="E63" s="18">
        <f>E61+E62</f>
        <v/>
      </c>
      <c r="F63" s="18">
        <f>F61+F62</f>
        <v/>
      </c>
      <c r="G63" s="18">
        <f>G61+G62</f>
        <v/>
      </c>
      <c r="H63" s="18">
        <f>H61+H62</f>
        <v/>
      </c>
      <c r="I63" s="18">
        <f>I61+I62</f>
        <v/>
      </c>
      <c r="J63" s="18">
        <f>J61+J62</f>
        <v/>
      </c>
      <c r="K63" s="18">
        <f>K61+K62</f>
        <v/>
      </c>
      <c r="L63" s="18">
        <f>L61+L62</f>
        <v/>
      </c>
      <c r="M63" s="18">
        <f>M61+M62</f>
        <v/>
      </c>
      <c r="N63" s="18">
        <f>N61+N62</f>
        <v/>
      </c>
      <c r="O63" s="29">
        <f>SUM(C63:N63)</f>
        <v/>
      </c>
    </row>
    <row r="64">
      <c r="B64" s="13" t="inlineStr">
        <is>
          <t xml:space="preserve">    Personas en la plantilla</t>
        </is>
      </c>
      <c r="C64" s="28">
        <f>COUNTIF(C55:C60,"&gt;0")</f>
        <v/>
      </c>
      <c r="D64" s="28">
        <f>COUNTIF(D55:D60,"&gt;0")</f>
        <v/>
      </c>
      <c r="E64" s="28">
        <f>COUNTIF(E55:E60,"&gt;0")</f>
        <v/>
      </c>
      <c r="F64" s="28">
        <f>COUNTIF(F55:F60,"&gt;0")</f>
        <v/>
      </c>
      <c r="G64" s="28">
        <f>COUNTIF(G55:G60,"&gt;0")</f>
        <v/>
      </c>
      <c r="H64" s="28">
        <f>COUNTIF(H55:H60,"&gt;0")</f>
        <v/>
      </c>
      <c r="I64" s="28">
        <f>COUNTIF(I55:I60,"&gt;0")</f>
        <v/>
      </c>
      <c r="J64" s="28">
        <f>COUNTIF(J55:J60,"&gt;0")</f>
        <v/>
      </c>
      <c r="K64" s="28">
        <f>COUNTIF(K55:K60,"&gt;0")</f>
        <v/>
      </c>
      <c r="L64" s="28">
        <f>COUNTIF(L55:L60,"&gt;0")</f>
        <v/>
      </c>
      <c r="M64" s="28">
        <f>COUNTIF(M55:M60,"&gt;0")</f>
        <v/>
      </c>
      <c r="N64" s="28">
        <f>COUNTIF(N55:N60,"&gt;0")</f>
        <v/>
      </c>
      <c r="O64" s="29">
        <f>N64</f>
        <v/>
      </c>
    </row>
    <row r="65"/>
    <row r="66"/>
    <row r="67">
      <c r="C67" s="5" t="n">
        <v>2029</v>
      </c>
    </row>
    <row r="68">
      <c r="C68" s="26" t="inlineStr">
        <is>
          <t>Ene</t>
        </is>
      </c>
      <c r="D68" s="26" t="inlineStr">
        <is>
          <t>Feb</t>
        </is>
      </c>
      <c r="E68" s="26" t="inlineStr">
        <is>
          <t>Mar</t>
        </is>
      </c>
      <c r="F68" s="26" t="inlineStr">
        <is>
          <t>Abr</t>
        </is>
      </c>
      <c r="G68" s="26" t="inlineStr">
        <is>
          <t>May</t>
        </is>
      </c>
      <c r="H68" s="26" t="inlineStr">
        <is>
          <t>Jun</t>
        </is>
      </c>
      <c r="I68" s="26" t="inlineStr">
        <is>
          <t>Jul</t>
        </is>
      </c>
      <c r="J68" s="26" t="inlineStr">
        <is>
          <t>Ago</t>
        </is>
      </c>
      <c r="K68" s="26" t="inlineStr">
        <is>
          <t>Sep</t>
        </is>
      </c>
      <c r="L68" s="26" t="inlineStr">
        <is>
          <t>Oct</t>
        </is>
      </c>
      <c r="M68" s="26" t="inlineStr">
        <is>
          <t>Nov</t>
        </is>
      </c>
      <c r="N68" s="26" t="inlineStr">
        <is>
          <t>Dic</t>
        </is>
      </c>
      <c r="O68" s="27" t="inlineStr">
        <is>
          <t>Total 2029</t>
        </is>
      </c>
    </row>
    <row r="69">
      <c r="B69" s="9" t="inlineStr">
        <is>
          <t>Salarios brutos por rol</t>
        </is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0">
      <c r="A70" s="20" t="inlineStr">
        <is>
          <t>SUELDOS</t>
        </is>
      </c>
      <c r="B70" s="13" t="inlineStr">
        <is>
          <t>Responsable de Producto y Desarrollo (socio)</t>
        </is>
      </c>
      <c r="C70" s="28">
        <f>IF(25&lt;$D$8,0,$C$8*(1+Hipótesis!$D$14)*(1+Hipótesis!$E$14)*1*$E$18)</f>
        <v/>
      </c>
      <c r="D70" s="28">
        <f>IF(26&lt;$D$8,0,$C$8*(1+Hipótesis!$D$14)*(1+Hipótesis!$E$14)*1*$E$18)</f>
        <v/>
      </c>
      <c r="E70" s="28">
        <f>IF(27&lt;$D$8,0,$C$8*(1+Hipótesis!$D$14)*(1+Hipótesis!$E$14)*1*$E$18)</f>
        <v/>
      </c>
      <c r="F70" s="28">
        <f>IF(28&lt;$D$8,0,$C$8*(1+Hipótesis!$D$14)*(1+Hipótesis!$E$14)*1*$E$18)</f>
        <v/>
      </c>
      <c r="G70" s="28">
        <f>IF(29&lt;$D$8,0,$C$8*(1+Hipótesis!$D$14)*(1+Hipótesis!$E$14)*1*$E$18)</f>
        <v/>
      </c>
      <c r="H70" s="28">
        <f>IF(30&lt;$D$8,0,$C$8*(1+Hipótesis!$D$14)*(1+Hipótesis!$E$14)*1.5*$E$18)</f>
        <v/>
      </c>
      <c r="I70" s="28">
        <f>IF(31&lt;$D$8,0,$C$8*(1+Hipótesis!$D$14)*(1+Hipótesis!$E$14)*1*$E$18)</f>
        <v/>
      </c>
      <c r="J70" s="28">
        <f>IF(32&lt;$D$8,0,$C$8*(1+Hipótesis!$D$14)*(1+Hipótesis!$E$14)*1*$E$18)</f>
        <v/>
      </c>
      <c r="K70" s="28">
        <f>IF(33&lt;$D$8,0,$C$8*(1+Hipótesis!$D$14)*(1+Hipótesis!$E$14)*1*$E$18)</f>
        <v/>
      </c>
      <c r="L70" s="28">
        <f>IF(34&lt;$D$8,0,$C$8*(1+Hipótesis!$D$14)*(1+Hipótesis!$E$14)*1*$E$18)</f>
        <v/>
      </c>
      <c r="M70" s="28">
        <f>IF(35&lt;$D$8,0,$C$8*(1+Hipótesis!$D$14)*(1+Hipótesis!$E$14)*1*$E$18)</f>
        <v/>
      </c>
      <c r="N70" s="28">
        <f>IF(36&lt;$D$8,0,$C$8*(1+Hipótesis!$D$14)*(1+Hipótesis!$E$14)*1.5*$E$18)</f>
        <v/>
      </c>
      <c r="O70" s="29">
        <f>SUM(C70:N70)</f>
        <v/>
      </c>
    </row>
    <row r="71">
      <c r="B71" s="13" t="inlineStr">
        <is>
          <t>Responsable Comercial y de Cuentas (socio)</t>
        </is>
      </c>
      <c r="C71" s="28">
        <f>IF(25&lt;$D$9,0,$C$9*(1+Hipótesis!$D$14)*(1+Hipótesis!$E$14)*1*$E$18)</f>
        <v/>
      </c>
      <c r="D71" s="28">
        <f>IF(26&lt;$D$9,0,$C$9*(1+Hipótesis!$D$14)*(1+Hipótesis!$E$14)*1*$E$18)</f>
        <v/>
      </c>
      <c r="E71" s="28">
        <f>IF(27&lt;$D$9,0,$C$9*(1+Hipótesis!$D$14)*(1+Hipótesis!$E$14)*1*$E$18)</f>
        <v/>
      </c>
      <c r="F71" s="28">
        <f>IF(28&lt;$D$9,0,$C$9*(1+Hipótesis!$D$14)*(1+Hipótesis!$E$14)*1*$E$18)</f>
        <v/>
      </c>
      <c r="G71" s="28">
        <f>IF(29&lt;$D$9,0,$C$9*(1+Hipótesis!$D$14)*(1+Hipótesis!$E$14)*1*$E$18)</f>
        <v/>
      </c>
      <c r="H71" s="28">
        <f>IF(30&lt;$D$9,0,$C$9*(1+Hipótesis!$D$14)*(1+Hipótesis!$E$14)*1.5*$E$18)</f>
        <v/>
      </c>
      <c r="I71" s="28">
        <f>IF(31&lt;$D$9,0,$C$9*(1+Hipótesis!$D$14)*(1+Hipótesis!$E$14)*1*$E$18)</f>
        <v/>
      </c>
      <c r="J71" s="28">
        <f>IF(32&lt;$D$9,0,$C$9*(1+Hipótesis!$D$14)*(1+Hipótesis!$E$14)*1*$E$18)</f>
        <v/>
      </c>
      <c r="K71" s="28">
        <f>IF(33&lt;$D$9,0,$C$9*(1+Hipótesis!$D$14)*(1+Hipótesis!$E$14)*1*$E$18)</f>
        <v/>
      </c>
      <c r="L71" s="28">
        <f>IF(34&lt;$D$9,0,$C$9*(1+Hipótesis!$D$14)*(1+Hipótesis!$E$14)*1*$E$18)</f>
        <v/>
      </c>
      <c r="M71" s="28">
        <f>IF(35&lt;$D$9,0,$C$9*(1+Hipótesis!$D$14)*(1+Hipótesis!$E$14)*1*$E$18)</f>
        <v/>
      </c>
      <c r="N71" s="28">
        <f>IF(36&lt;$D$9,0,$C$9*(1+Hipótesis!$D$14)*(1+Hipótesis!$E$14)*1.5*$E$18)</f>
        <v/>
      </c>
      <c r="O71" s="29">
        <f>SUM(C71:N71)</f>
        <v/>
      </c>
    </row>
    <row r="72">
      <c r="B72" s="13" t="inlineStr">
        <is>
          <t>Responsable de Soporte y Onboarding</t>
        </is>
      </c>
      <c r="C72" s="28">
        <f>IF(25&lt;$D$10,0,$C$10*(1+Hipótesis!$D$14)*(1+Hipótesis!$E$14)*1)</f>
        <v/>
      </c>
      <c r="D72" s="28">
        <f>IF(26&lt;$D$10,0,$C$10*(1+Hipótesis!$D$14)*(1+Hipótesis!$E$14)*1)</f>
        <v/>
      </c>
      <c r="E72" s="28">
        <f>IF(27&lt;$D$10,0,$C$10*(1+Hipótesis!$D$14)*(1+Hipótesis!$E$14)*1)</f>
        <v/>
      </c>
      <c r="F72" s="28">
        <f>IF(28&lt;$D$10,0,$C$10*(1+Hipótesis!$D$14)*(1+Hipótesis!$E$14)*1)</f>
        <v/>
      </c>
      <c r="G72" s="28">
        <f>IF(29&lt;$D$10,0,$C$10*(1+Hipótesis!$D$14)*(1+Hipótesis!$E$14)*1)</f>
        <v/>
      </c>
      <c r="H72" s="28">
        <f>IF(30&lt;$D$10,0,$C$10*(1+Hipótesis!$D$14)*(1+Hipótesis!$E$14)*1.5)</f>
        <v/>
      </c>
      <c r="I72" s="28">
        <f>IF(31&lt;$D$10,0,$C$10*(1+Hipótesis!$D$14)*(1+Hipótesis!$E$14)*1)</f>
        <v/>
      </c>
      <c r="J72" s="28">
        <f>IF(32&lt;$D$10,0,$C$10*(1+Hipótesis!$D$14)*(1+Hipótesis!$E$14)*1)</f>
        <v/>
      </c>
      <c r="K72" s="28">
        <f>IF(33&lt;$D$10,0,$C$10*(1+Hipótesis!$D$14)*(1+Hipótesis!$E$14)*1)</f>
        <v/>
      </c>
      <c r="L72" s="28">
        <f>IF(34&lt;$D$10,0,$C$10*(1+Hipótesis!$D$14)*(1+Hipótesis!$E$14)*1)</f>
        <v/>
      </c>
      <c r="M72" s="28">
        <f>IF(35&lt;$D$10,0,$C$10*(1+Hipótesis!$D$14)*(1+Hipótesis!$E$14)*1)</f>
        <v/>
      </c>
      <c r="N72" s="28">
        <f>IF(36&lt;$D$10,0,$C$10*(1+Hipótesis!$D$14)*(1+Hipótesis!$E$14)*1.5)</f>
        <v/>
      </c>
      <c r="O72" s="29">
        <f>SUM(C72:N72)</f>
        <v/>
      </c>
    </row>
    <row r="73">
      <c r="B73" s="13" t="inlineStr">
        <is>
          <t>Colaborador de desarrollo</t>
        </is>
      </c>
      <c r="C73" s="28">
        <f>IF(25&lt;$D$11,0,$C$11*(1+Hipótesis!$D$14)*(1+Hipótesis!$E$14)*1)</f>
        <v/>
      </c>
      <c r="D73" s="28">
        <f>IF(26&lt;$D$11,0,$C$11*(1+Hipótesis!$D$14)*(1+Hipótesis!$E$14)*1)</f>
        <v/>
      </c>
      <c r="E73" s="28">
        <f>IF(27&lt;$D$11,0,$C$11*(1+Hipótesis!$D$14)*(1+Hipótesis!$E$14)*1)</f>
        <v/>
      </c>
      <c r="F73" s="28">
        <f>IF(28&lt;$D$11,0,$C$11*(1+Hipótesis!$D$14)*(1+Hipótesis!$E$14)*1)</f>
        <v/>
      </c>
      <c r="G73" s="28">
        <f>IF(29&lt;$D$11,0,$C$11*(1+Hipótesis!$D$14)*(1+Hipótesis!$E$14)*1)</f>
        <v/>
      </c>
      <c r="H73" s="28">
        <f>IF(30&lt;$D$11,0,$C$11*(1+Hipótesis!$D$14)*(1+Hipótesis!$E$14)*1.5)</f>
        <v/>
      </c>
      <c r="I73" s="28">
        <f>IF(31&lt;$D$11,0,$C$11*(1+Hipótesis!$D$14)*(1+Hipótesis!$E$14)*1)</f>
        <v/>
      </c>
      <c r="J73" s="28">
        <f>IF(32&lt;$D$11,0,$C$11*(1+Hipótesis!$D$14)*(1+Hipótesis!$E$14)*1)</f>
        <v/>
      </c>
      <c r="K73" s="28">
        <f>IF(33&lt;$D$11,0,$C$11*(1+Hipótesis!$D$14)*(1+Hipótesis!$E$14)*1)</f>
        <v/>
      </c>
      <c r="L73" s="28">
        <f>IF(34&lt;$D$11,0,$C$11*(1+Hipótesis!$D$14)*(1+Hipótesis!$E$14)*1)</f>
        <v/>
      </c>
      <c r="M73" s="28">
        <f>IF(35&lt;$D$11,0,$C$11*(1+Hipótesis!$D$14)*(1+Hipótesis!$E$14)*1)</f>
        <v/>
      </c>
      <c r="N73" s="28">
        <f>IF(36&lt;$D$11,0,$C$11*(1+Hipótesis!$D$14)*(1+Hipótesis!$E$14)*1.5)</f>
        <v/>
      </c>
      <c r="O73" s="29">
        <f>SUM(C73:N73)</f>
        <v/>
      </c>
    </row>
    <row r="74">
      <c r="B74" s="13" t="inlineStr">
        <is>
          <t>Responsable de Marketing y Contenidos</t>
        </is>
      </c>
      <c r="C74" s="28">
        <f>IF(25&lt;$D$12,0,$C$12*(1+Hipótesis!$D$14)*(1+Hipótesis!$E$14)*1)</f>
        <v/>
      </c>
      <c r="D74" s="28">
        <f>IF(26&lt;$D$12,0,$C$12*(1+Hipótesis!$D$14)*(1+Hipótesis!$E$14)*1)</f>
        <v/>
      </c>
      <c r="E74" s="28">
        <f>IF(27&lt;$D$12,0,$C$12*(1+Hipótesis!$D$14)*(1+Hipótesis!$E$14)*1)</f>
        <v/>
      </c>
      <c r="F74" s="28">
        <f>IF(28&lt;$D$12,0,$C$12*(1+Hipótesis!$D$14)*(1+Hipótesis!$E$14)*1)</f>
        <v/>
      </c>
      <c r="G74" s="28">
        <f>IF(29&lt;$D$12,0,$C$12*(1+Hipótesis!$D$14)*(1+Hipótesis!$E$14)*1)</f>
        <v/>
      </c>
      <c r="H74" s="28">
        <f>IF(30&lt;$D$12,0,$C$12*(1+Hipótesis!$D$14)*(1+Hipótesis!$E$14)*1.5)</f>
        <v/>
      </c>
      <c r="I74" s="28">
        <f>IF(31&lt;$D$12,0,$C$12*(1+Hipótesis!$D$14)*(1+Hipótesis!$E$14)*1)</f>
        <v/>
      </c>
      <c r="J74" s="28">
        <f>IF(32&lt;$D$12,0,$C$12*(1+Hipótesis!$D$14)*(1+Hipótesis!$E$14)*1)</f>
        <v/>
      </c>
      <c r="K74" s="28">
        <f>IF(33&lt;$D$12,0,$C$12*(1+Hipótesis!$D$14)*(1+Hipótesis!$E$14)*1)</f>
        <v/>
      </c>
      <c r="L74" s="28">
        <f>IF(34&lt;$D$12,0,$C$12*(1+Hipótesis!$D$14)*(1+Hipótesis!$E$14)*1)</f>
        <v/>
      </c>
      <c r="M74" s="28">
        <f>IF(35&lt;$D$12,0,$C$12*(1+Hipótesis!$D$14)*(1+Hipótesis!$E$14)*1)</f>
        <v/>
      </c>
      <c r="N74" s="28">
        <f>IF(36&lt;$D$12,0,$C$12*(1+Hipótesis!$D$14)*(1+Hipótesis!$E$14)*1.5)</f>
        <v/>
      </c>
      <c r="O74" s="29">
        <f>SUM(C74:N74)</f>
        <v/>
      </c>
    </row>
    <row r="75">
      <c r="B75" s="13" t="inlineStr">
        <is>
          <t>Segundo colaborador de soporte</t>
        </is>
      </c>
      <c r="C75" s="28">
        <f>IF(25&lt;$D$13,0,$C$13*(1+Hipótesis!$D$14)*(1+Hipótesis!$E$14)*1)</f>
        <v/>
      </c>
      <c r="D75" s="28">
        <f>IF(26&lt;$D$13,0,$C$13*(1+Hipótesis!$D$14)*(1+Hipótesis!$E$14)*1)</f>
        <v/>
      </c>
      <c r="E75" s="28">
        <f>IF(27&lt;$D$13,0,$C$13*(1+Hipótesis!$D$14)*(1+Hipótesis!$E$14)*1)</f>
        <v/>
      </c>
      <c r="F75" s="28">
        <f>IF(28&lt;$D$13,0,$C$13*(1+Hipótesis!$D$14)*(1+Hipótesis!$E$14)*1)</f>
        <v/>
      </c>
      <c r="G75" s="28">
        <f>IF(29&lt;$D$13,0,$C$13*(1+Hipótesis!$D$14)*(1+Hipótesis!$E$14)*1)</f>
        <v/>
      </c>
      <c r="H75" s="28">
        <f>IF(30&lt;$D$13,0,$C$13*(1+Hipótesis!$D$14)*(1+Hipótesis!$E$14)*1.5)</f>
        <v/>
      </c>
      <c r="I75" s="28">
        <f>IF(31&lt;$D$13,0,$C$13*(1+Hipótesis!$D$14)*(1+Hipótesis!$E$14)*1)</f>
        <v/>
      </c>
      <c r="J75" s="28">
        <f>IF(32&lt;$D$13,0,$C$13*(1+Hipótesis!$D$14)*(1+Hipótesis!$E$14)*1)</f>
        <v/>
      </c>
      <c r="K75" s="28">
        <f>IF(33&lt;$D$13,0,$C$13*(1+Hipótesis!$D$14)*(1+Hipótesis!$E$14)*1)</f>
        <v/>
      </c>
      <c r="L75" s="28">
        <f>IF(34&lt;$D$13,0,$C$13*(1+Hipótesis!$D$14)*(1+Hipótesis!$E$14)*1)</f>
        <v/>
      </c>
      <c r="M75" s="28">
        <f>IF(35&lt;$D$13,0,$C$13*(1+Hipótesis!$D$14)*(1+Hipótesis!$E$14)*1)</f>
        <v/>
      </c>
      <c r="N75" s="28">
        <f>IF(36&lt;$D$13,0,$C$13*(1+Hipótesis!$D$14)*(1+Hipótesis!$E$14)*1.5)</f>
        <v/>
      </c>
      <c r="O75" s="29">
        <f>SUM(C75:N75)</f>
        <v/>
      </c>
    </row>
    <row r="76">
      <c r="B76" s="20" t="inlineStr">
        <is>
          <t>Total de salarios brutos</t>
        </is>
      </c>
      <c r="C76" s="18">
        <f>SUM(C70:C75)</f>
        <v/>
      </c>
      <c r="D76" s="18">
        <f>SUM(D70:D75)</f>
        <v/>
      </c>
      <c r="E76" s="18">
        <f>SUM(E70:E75)</f>
        <v/>
      </c>
      <c r="F76" s="18">
        <f>SUM(F70:F75)</f>
        <v/>
      </c>
      <c r="G76" s="18">
        <f>SUM(G70:G75)</f>
        <v/>
      </c>
      <c r="H76" s="18">
        <f>SUM(H70:H75)</f>
        <v/>
      </c>
      <c r="I76" s="18">
        <f>SUM(I70:I75)</f>
        <v/>
      </c>
      <c r="J76" s="18">
        <f>SUM(J70:J75)</f>
        <v/>
      </c>
      <c r="K76" s="18">
        <f>SUM(K70:K75)</f>
        <v/>
      </c>
      <c r="L76" s="18">
        <f>SUM(L70:L75)</f>
        <v/>
      </c>
      <c r="M76" s="18">
        <f>SUM(M70:M75)</f>
        <v/>
      </c>
      <c r="N76" s="18">
        <f>SUM(N70:N75)</f>
        <v/>
      </c>
      <c r="O76" s="29">
        <f>SUM(C76:N76)</f>
        <v/>
      </c>
    </row>
    <row r="77">
      <c r="B77" s="13" t="inlineStr">
        <is>
          <t xml:space="preserve">    Cargas sociales</t>
        </is>
      </c>
      <c r="C77" s="28">
        <f>C76*$C$28</f>
        <v/>
      </c>
      <c r="D77" s="28">
        <f>D76*$C$28</f>
        <v/>
      </c>
      <c r="E77" s="28">
        <f>E76*$C$28</f>
        <v/>
      </c>
      <c r="F77" s="28">
        <f>F76*$C$28</f>
        <v/>
      </c>
      <c r="G77" s="28">
        <f>G76*$C$28</f>
        <v/>
      </c>
      <c r="H77" s="28">
        <f>H76*$C$28</f>
        <v/>
      </c>
      <c r="I77" s="28">
        <f>I76*$C$28</f>
        <v/>
      </c>
      <c r="J77" s="28">
        <f>J76*$C$28</f>
        <v/>
      </c>
      <c r="K77" s="28">
        <f>K76*$C$28</f>
        <v/>
      </c>
      <c r="L77" s="28">
        <f>L76*$C$28</f>
        <v/>
      </c>
      <c r="M77" s="28">
        <f>M76*$C$28</f>
        <v/>
      </c>
      <c r="N77" s="28">
        <f>N76*$C$28</f>
        <v/>
      </c>
      <c r="O77" s="29">
        <f>SUM(C77:N77)</f>
        <v/>
      </c>
    </row>
    <row r="78">
      <c r="A78" s="20" t="inlineStr">
        <is>
          <t>TOTAL</t>
        </is>
      </c>
      <c r="B78" s="20" t="inlineStr">
        <is>
          <t>Costo total de RRHH</t>
        </is>
      </c>
      <c r="C78" s="18">
        <f>C76+C77</f>
        <v/>
      </c>
      <c r="D78" s="18">
        <f>D76+D77</f>
        <v/>
      </c>
      <c r="E78" s="18">
        <f>E76+E77</f>
        <v/>
      </c>
      <c r="F78" s="18">
        <f>F76+F77</f>
        <v/>
      </c>
      <c r="G78" s="18">
        <f>G76+G77</f>
        <v/>
      </c>
      <c r="H78" s="18">
        <f>H76+H77</f>
        <v/>
      </c>
      <c r="I78" s="18">
        <f>I76+I77</f>
        <v/>
      </c>
      <c r="J78" s="18">
        <f>J76+J77</f>
        <v/>
      </c>
      <c r="K78" s="18">
        <f>K76+K77</f>
        <v/>
      </c>
      <c r="L78" s="18">
        <f>L76+L77</f>
        <v/>
      </c>
      <c r="M78" s="18">
        <f>M76+M77</f>
        <v/>
      </c>
      <c r="N78" s="18">
        <f>N76+N77</f>
        <v/>
      </c>
      <c r="O78" s="29">
        <f>SUM(C78:N78)</f>
        <v/>
      </c>
    </row>
    <row r="79">
      <c r="B79" s="13" t="inlineStr">
        <is>
          <t xml:space="preserve">    Personas en la plantilla</t>
        </is>
      </c>
      <c r="C79" s="28">
        <f>COUNTIF(C70:C75,"&gt;0")</f>
        <v/>
      </c>
      <c r="D79" s="28">
        <f>COUNTIF(D70:D75,"&gt;0")</f>
        <v/>
      </c>
      <c r="E79" s="28">
        <f>COUNTIF(E70:E75,"&gt;0")</f>
        <v/>
      </c>
      <c r="F79" s="28">
        <f>COUNTIF(F70:F75,"&gt;0")</f>
        <v/>
      </c>
      <c r="G79" s="28">
        <f>COUNTIF(G70:G75,"&gt;0")</f>
        <v/>
      </c>
      <c r="H79" s="28">
        <f>COUNTIF(H70:H75,"&gt;0")</f>
        <v/>
      </c>
      <c r="I79" s="28">
        <f>COUNTIF(I70:I75,"&gt;0")</f>
        <v/>
      </c>
      <c r="J79" s="28">
        <f>COUNTIF(J70:J75,"&gt;0")</f>
        <v/>
      </c>
      <c r="K79" s="28">
        <f>COUNTIF(K70:K75,"&gt;0")</f>
        <v/>
      </c>
      <c r="L79" s="28">
        <f>COUNTIF(L70:L75,"&gt;0")</f>
        <v/>
      </c>
      <c r="M79" s="28">
        <f>COUNTIF(M70:M75,"&gt;0")</f>
        <v/>
      </c>
      <c r="N79" s="28">
        <f>COUNTIF(N70:N75,"&gt;0")</f>
        <v/>
      </c>
      <c r="O79" s="29">
        <f>N79</f>
        <v/>
      </c>
    </row>
    <row r="80"/>
    <row r="81"/>
    <row r="82">
      <c r="C82" s="5" t="n">
        <v>2030</v>
      </c>
    </row>
    <row r="83">
      <c r="C83" s="26" t="inlineStr">
        <is>
          <t>Ene</t>
        </is>
      </c>
      <c r="D83" s="26" t="inlineStr">
        <is>
          <t>Feb</t>
        </is>
      </c>
      <c r="E83" s="26" t="inlineStr">
        <is>
          <t>Mar</t>
        </is>
      </c>
      <c r="F83" s="26" t="inlineStr">
        <is>
          <t>Abr</t>
        </is>
      </c>
      <c r="G83" s="26" t="inlineStr">
        <is>
          <t>May</t>
        </is>
      </c>
      <c r="H83" s="26" t="inlineStr">
        <is>
          <t>Jun</t>
        </is>
      </c>
      <c r="I83" s="26" t="inlineStr">
        <is>
          <t>Jul</t>
        </is>
      </c>
      <c r="J83" s="26" t="inlineStr">
        <is>
          <t>Ago</t>
        </is>
      </c>
      <c r="K83" s="26" t="inlineStr">
        <is>
          <t>Sep</t>
        </is>
      </c>
      <c r="L83" s="26" t="inlineStr">
        <is>
          <t>Oct</t>
        </is>
      </c>
      <c r="M83" s="26" t="inlineStr">
        <is>
          <t>Nov</t>
        </is>
      </c>
      <c r="N83" s="26" t="inlineStr">
        <is>
          <t>Dic</t>
        </is>
      </c>
      <c r="O83" s="27" t="inlineStr">
        <is>
          <t>Total 2030</t>
        </is>
      </c>
    </row>
    <row r="84">
      <c r="B84" s="9" t="inlineStr">
        <is>
          <t>Salarios brutos por rol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</row>
    <row r="85">
      <c r="A85" s="20" t="inlineStr">
        <is>
          <t>SUELDOS</t>
        </is>
      </c>
      <c r="B85" s="13" t="inlineStr">
        <is>
          <t>Responsable de Producto y Desarrollo (socio)</t>
        </is>
      </c>
      <c r="C85" s="28">
        <f>IF(37&lt;$D$8,0,$C$8*(1+Hipótesis!$D$14)*(1+Hipótesis!$E$14)*(1+Hipótesis!$F$14)*1*$F$18)</f>
        <v/>
      </c>
      <c r="D85" s="28">
        <f>IF(38&lt;$D$8,0,$C$8*(1+Hipótesis!$D$14)*(1+Hipótesis!$E$14)*(1+Hipótesis!$F$14)*1*$F$18)</f>
        <v/>
      </c>
      <c r="E85" s="28">
        <f>IF(39&lt;$D$8,0,$C$8*(1+Hipótesis!$D$14)*(1+Hipótesis!$E$14)*(1+Hipótesis!$F$14)*1*$F$18)</f>
        <v/>
      </c>
      <c r="F85" s="28">
        <f>IF(40&lt;$D$8,0,$C$8*(1+Hipótesis!$D$14)*(1+Hipótesis!$E$14)*(1+Hipótesis!$F$14)*1*$F$18)</f>
        <v/>
      </c>
      <c r="G85" s="28">
        <f>IF(41&lt;$D$8,0,$C$8*(1+Hipótesis!$D$14)*(1+Hipótesis!$E$14)*(1+Hipótesis!$F$14)*1*$F$18)</f>
        <v/>
      </c>
      <c r="H85" s="28">
        <f>IF(42&lt;$D$8,0,$C$8*(1+Hipótesis!$D$14)*(1+Hipótesis!$E$14)*(1+Hipótesis!$F$14)*1.5*$F$18)</f>
        <v/>
      </c>
      <c r="I85" s="28">
        <f>IF(43&lt;$D$8,0,$C$8*(1+Hipótesis!$D$14)*(1+Hipótesis!$E$14)*(1+Hipótesis!$F$14)*1*$F$18)</f>
        <v/>
      </c>
      <c r="J85" s="28">
        <f>IF(44&lt;$D$8,0,$C$8*(1+Hipótesis!$D$14)*(1+Hipótesis!$E$14)*(1+Hipótesis!$F$14)*1*$F$18)</f>
        <v/>
      </c>
      <c r="K85" s="28">
        <f>IF(45&lt;$D$8,0,$C$8*(1+Hipótesis!$D$14)*(1+Hipótesis!$E$14)*(1+Hipótesis!$F$14)*1*$F$18)</f>
        <v/>
      </c>
      <c r="L85" s="28">
        <f>IF(46&lt;$D$8,0,$C$8*(1+Hipótesis!$D$14)*(1+Hipótesis!$E$14)*(1+Hipótesis!$F$14)*1*$F$18)</f>
        <v/>
      </c>
      <c r="M85" s="28">
        <f>IF(47&lt;$D$8,0,$C$8*(1+Hipótesis!$D$14)*(1+Hipótesis!$E$14)*(1+Hipótesis!$F$14)*1*$F$18)</f>
        <v/>
      </c>
      <c r="N85" s="28">
        <f>IF(48&lt;$D$8,0,$C$8*(1+Hipótesis!$D$14)*(1+Hipótesis!$E$14)*(1+Hipótesis!$F$14)*1.5*$F$18)</f>
        <v/>
      </c>
      <c r="O85" s="29">
        <f>SUM(C85:N85)</f>
        <v/>
      </c>
    </row>
    <row r="86">
      <c r="B86" s="13" t="inlineStr">
        <is>
          <t>Responsable Comercial y de Cuentas (socio)</t>
        </is>
      </c>
      <c r="C86" s="28">
        <f>IF(37&lt;$D$9,0,$C$9*(1+Hipótesis!$D$14)*(1+Hipótesis!$E$14)*(1+Hipótesis!$F$14)*1*$F$18)</f>
        <v/>
      </c>
      <c r="D86" s="28">
        <f>IF(38&lt;$D$9,0,$C$9*(1+Hipótesis!$D$14)*(1+Hipótesis!$E$14)*(1+Hipótesis!$F$14)*1*$F$18)</f>
        <v/>
      </c>
      <c r="E86" s="28">
        <f>IF(39&lt;$D$9,0,$C$9*(1+Hipótesis!$D$14)*(1+Hipótesis!$E$14)*(1+Hipótesis!$F$14)*1*$F$18)</f>
        <v/>
      </c>
      <c r="F86" s="28">
        <f>IF(40&lt;$D$9,0,$C$9*(1+Hipótesis!$D$14)*(1+Hipótesis!$E$14)*(1+Hipótesis!$F$14)*1*$F$18)</f>
        <v/>
      </c>
      <c r="G86" s="28">
        <f>IF(41&lt;$D$9,0,$C$9*(1+Hipótesis!$D$14)*(1+Hipótesis!$E$14)*(1+Hipótesis!$F$14)*1*$F$18)</f>
        <v/>
      </c>
      <c r="H86" s="28">
        <f>IF(42&lt;$D$9,0,$C$9*(1+Hipótesis!$D$14)*(1+Hipótesis!$E$14)*(1+Hipótesis!$F$14)*1.5*$F$18)</f>
        <v/>
      </c>
      <c r="I86" s="28">
        <f>IF(43&lt;$D$9,0,$C$9*(1+Hipótesis!$D$14)*(1+Hipótesis!$E$14)*(1+Hipótesis!$F$14)*1*$F$18)</f>
        <v/>
      </c>
      <c r="J86" s="28">
        <f>IF(44&lt;$D$9,0,$C$9*(1+Hipótesis!$D$14)*(1+Hipótesis!$E$14)*(1+Hipótesis!$F$14)*1*$F$18)</f>
        <v/>
      </c>
      <c r="K86" s="28">
        <f>IF(45&lt;$D$9,0,$C$9*(1+Hipótesis!$D$14)*(1+Hipótesis!$E$14)*(1+Hipótesis!$F$14)*1*$F$18)</f>
        <v/>
      </c>
      <c r="L86" s="28">
        <f>IF(46&lt;$D$9,0,$C$9*(1+Hipótesis!$D$14)*(1+Hipótesis!$E$14)*(1+Hipótesis!$F$14)*1*$F$18)</f>
        <v/>
      </c>
      <c r="M86" s="28">
        <f>IF(47&lt;$D$9,0,$C$9*(1+Hipótesis!$D$14)*(1+Hipótesis!$E$14)*(1+Hipótesis!$F$14)*1*$F$18)</f>
        <v/>
      </c>
      <c r="N86" s="28">
        <f>IF(48&lt;$D$9,0,$C$9*(1+Hipótesis!$D$14)*(1+Hipótesis!$E$14)*(1+Hipótesis!$F$14)*1.5*$F$18)</f>
        <v/>
      </c>
      <c r="O86" s="29">
        <f>SUM(C86:N86)</f>
        <v/>
      </c>
    </row>
    <row r="87">
      <c r="B87" s="13" t="inlineStr">
        <is>
          <t>Responsable de Soporte y Onboarding</t>
        </is>
      </c>
      <c r="C87" s="28">
        <f>IF(37&lt;$D$10,0,$C$10*(1+Hipótesis!$D$14)*(1+Hipótesis!$E$14)*(1+Hipótesis!$F$14)*1)</f>
        <v/>
      </c>
      <c r="D87" s="28">
        <f>IF(38&lt;$D$10,0,$C$10*(1+Hipótesis!$D$14)*(1+Hipótesis!$E$14)*(1+Hipótesis!$F$14)*1)</f>
        <v/>
      </c>
      <c r="E87" s="28">
        <f>IF(39&lt;$D$10,0,$C$10*(1+Hipótesis!$D$14)*(1+Hipótesis!$E$14)*(1+Hipótesis!$F$14)*1)</f>
        <v/>
      </c>
      <c r="F87" s="28">
        <f>IF(40&lt;$D$10,0,$C$10*(1+Hipótesis!$D$14)*(1+Hipótesis!$E$14)*(1+Hipótesis!$F$14)*1)</f>
        <v/>
      </c>
      <c r="G87" s="28">
        <f>IF(41&lt;$D$10,0,$C$10*(1+Hipótesis!$D$14)*(1+Hipótesis!$E$14)*(1+Hipótesis!$F$14)*1)</f>
        <v/>
      </c>
      <c r="H87" s="28">
        <f>IF(42&lt;$D$10,0,$C$10*(1+Hipótesis!$D$14)*(1+Hipótesis!$E$14)*(1+Hipótesis!$F$14)*1.5)</f>
        <v/>
      </c>
      <c r="I87" s="28">
        <f>IF(43&lt;$D$10,0,$C$10*(1+Hipótesis!$D$14)*(1+Hipótesis!$E$14)*(1+Hipótesis!$F$14)*1)</f>
        <v/>
      </c>
      <c r="J87" s="28">
        <f>IF(44&lt;$D$10,0,$C$10*(1+Hipótesis!$D$14)*(1+Hipótesis!$E$14)*(1+Hipótesis!$F$14)*1)</f>
        <v/>
      </c>
      <c r="K87" s="28">
        <f>IF(45&lt;$D$10,0,$C$10*(1+Hipótesis!$D$14)*(1+Hipótesis!$E$14)*(1+Hipótesis!$F$14)*1)</f>
        <v/>
      </c>
      <c r="L87" s="28">
        <f>IF(46&lt;$D$10,0,$C$10*(1+Hipótesis!$D$14)*(1+Hipótesis!$E$14)*(1+Hipótesis!$F$14)*1)</f>
        <v/>
      </c>
      <c r="M87" s="28">
        <f>IF(47&lt;$D$10,0,$C$10*(1+Hipótesis!$D$14)*(1+Hipótesis!$E$14)*(1+Hipótesis!$F$14)*1)</f>
        <v/>
      </c>
      <c r="N87" s="28">
        <f>IF(48&lt;$D$10,0,$C$10*(1+Hipótesis!$D$14)*(1+Hipótesis!$E$14)*(1+Hipótesis!$F$14)*1.5)</f>
        <v/>
      </c>
      <c r="O87" s="29">
        <f>SUM(C87:N87)</f>
        <v/>
      </c>
    </row>
    <row r="88">
      <c r="B88" s="13" t="inlineStr">
        <is>
          <t>Colaborador de desarrollo</t>
        </is>
      </c>
      <c r="C88" s="28">
        <f>IF(37&lt;$D$11,0,$C$11*(1+Hipótesis!$D$14)*(1+Hipótesis!$E$14)*(1+Hipótesis!$F$14)*1)</f>
        <v/>
      </c>
      <c r="D88" s="28">
        <f>IF(38&lt;$D$11,0,$C$11*(1+Hipótesis!$D$14)*(1+Hipótesis!$E$14)*(1+Hipótesis!$F$14)*1)</f>
        <v/>
      </c>
      <c r="E88" s="28">
        <f>IF(39&lt;$D$11,0,$C$11*(1+Hipótesis!$D$14)*(1+Hipótesis!$E$14)*(1+Hipótesis!$F$14)*1)</f>
        <v/>
      </c>
      <c r="F88" s="28">
        <f>IF(40&lt;$D$11,0,$C$11*(1+Hipótesis!$D$14)*(1+Hipótesis!$E$14)*(1+Hipótesis!$F$14)*1)</f>
        <v/>
      </c>
      <c r="G88" s="28">
        <f>IF(41&lt;$D$11,0,$C$11*(1+Hipótesis!$D$14)*(1+Hipótesis!$E$14)*(1+Hipótesis!$F$14)*1)</f>
        <v/>
      </c>
      <c r="H88" s="28">
        <f>IF(42&lt;$D$11,0,$C$11*(1+Hipótesis!$D$14)*(1+Hipótesis!$E$14)*(1+Hipótesis!$F$14)*1.5)</f>
        <v/>
      </c>
      <c r="I88" s="28">
        <f>IF(43&lt;$D$11,0,$C$11*(1+Hipótesis!$D$14)*(1+Hipótesis!$E$14)*(1+Hipótesis!$F$14)*1)</f>
        <v/>
      </c>
      <c r="J88" s="28">
        <f>IF(44&lt;$D$11,0,$C$11*(1+Hipótesis!$D$14)*(1+Hipótesis!$E$14)*(1+Hipótesis!$F$14)*1)</f>
        <v/>
      </c>
      <c r="K88" s="28">
        <f>IF(45&lt;$D$11,0,$C$11*(1+Hipótesis!$D$14)*(1+Hipótesis!$E$14)*(1+Hipótesis!$F$14)*1)</f>
        <v/>
      </c>
      <c r="L88" s="28">
        <f>IF(46&lt;$D$11,0,$C$11*(1+Hipótesis!$D$14)*(1+Hipótesis!$E$14)*(1+Hipótesis!$F$14)*1)</f>
        <v/>
      </c>
      <c r="M88" s="28">
        <f>IF(47&lt;$D$11,0,$C$11*(1+Hipótesis!$D$14)*(1+Hipótesis!$E$14)*(1+Hipótesis!$F$14)*1)</f>
        <v/>
      </c>
      <c r="N88" s="28">
        <f>IF(48&lt;$D$11,0,$C$11*(1+Hipótesis!$D$14)*(1+Hipótesis!$E$14)*(1+Hipótesis!$F$14)*1.5)</f>
        <v/>
      </c>
      <c r="O88" s="29">
        <f>SUM(C88:N88)</f>
        <v/>
      </c>
    </row>
    <row r="89">
      <c r="B89" s="13" t="inlineStr">
        <is>
          <t>Responsable de Marketing y Contenidos</t>
        </is>
      </c>
      <c r="C89" s="28">
        <f>IF(37&lt;$D$12,0,$C$12*(1+Hipótesis!$D$14)*(1+Hipótesis!$E$14)*(1+Hipótesis!$F$14)*1)</f>
        <v/>
      </c>
      <c r="D89" s="28">
        <f>IF(38&lt;$D$12,0,$C$12*(1+Hipótesis!$D$14)*(1+Hipótesis!$E$14)*(1+Hipótesis!$F$14)*1)</f>
        <v/>
      </c>
      <c r="E89" s="28">
        <f>IF(39&lt;$D$12,0,$C$12*(1+Hipótesis!$D$14)*(1+Hipótesis!$E$14)*(1+Hipótesis!$F$14)*1)</f>
        <v/>
      </c>
      <c r="F89" s="28">
        <f>IF(40&lt;$D$12,0,$C$12*(1+Hipótesis!$D$14)*(1+Hipótesis!$E$14)*(1+Hipótesis!$F$14)*1)</f>
        <v/>
      </c>
      <c r="G89" s="28">
        <f>IF(41&lt;$D$12,0,$C$12*(1+Hipótesis!$D$14)*(1+Hipótesis!$E$14)*(1+Hipótesis!$F$14)*1)</f>
        <v/>
      </c>
      <c r="H89" s="28">
        <f>IF(42&lt;$D$12,0,$C$12*(1+Hipótesis!$D$14)*(1+Hipótesis!$E$14)*(1+Hipótesis!$F$14)*1.5)</f>
        <v/>
      </c>
      <c r="I89" s="28">
        <f>IF(43&lt;$D$12,0,$C$12*(1+Hipótesis!$D$14)*(1+Hipótesis!$E$14)*(1+Hipótesis!$F$14)*1)</f>
        <v/>
      </c>
      <c r="J89" s="28">
        <f>IF(44&lt;$D$12,0,$C$12*(1+Hipótesis!$D$14)*(1+Hipótesis!$E$14)*(1+Hipótesis!$F$14)*1)</f>
        <v/>
      </c>
      <c r="K89" s="28">
        <f>IF(45&lt;$D$12,0,$C$12*(1+Hipótesis!$D$14)*(1+Hipótesis!$E$14)*(1+Hipótesis!$F$14)*1)</f>
        <v/>
      </c>
      <c r="L89" s="28">
        <f>IF(46&lt;$D$12,0,$C$12*(1+Hipótesis!$D$14)*(1+Hipótesis!$E$14)*(1+Hipótesis!$F$14)*1)</f>
        <v/>
      </c>
      <c r="M89" s="28">
        <f>IF(47&lt;$D$12,0,$C$12*(1+Hipótesis!$D$14)*(1+Hipótesis!$E$14)*(1+Hipótesis!$F$14)*1)</f>
        <v/>
      </c>
      <c r="N89" s="28">
        <f>IF(48&lt;$D$12,0,$C$12*(1+Hipótesis!$D$14)*(1+Hipótesis!$E$14)*(1+Hipótesis!$F$14)*1.5)</f>
        <v/>
      </c>
      <c r="O89" s="29">
        <f>SUM(C89:N89)</f>
        <v/>
      </c>
    </row>
    <row r="90">
      <c r="B90" s="13" t="inlineStr">
        <is>
          <t>Segundo colaborador de soporte</t>
        </is>
      </c>
      <c r="C90" s="28">
        <f>IF(37&lt;$D$13,0,$C$13*(1+Hipótesis!$D$14)*(1+Hipótesis!$E$14)*(1+Hipótesis!$F$14)*1)</f>
        <v/>
      </c>
      <c r="D90" s="28">
        <f>IF(38&lt;$D$13,0,$C$13*(1+Hipótesis!$D$14)*(1+Hipótesis!$E$14)*(1+Hipótesis!$F$14)*1)</f>
        <v/>
      </c>
      <c r="E90" s="28">
        <f>IF(39&lt;$D$13,0,$C$13*(1+Hipótesis!$D$14)*(1+Hipótesis!$E$14)*(1+Hipótesis!$F$14)*1)</f>
        <v/>
      </c>
      <c r="F90" s="28">
        <f>IF(40&lt;$D$13,0,$C$13*(1+Hipótesis!$D$14)*(1+Hipótesis!$E$14)*(1+Hipótesis!$F$14)*1)</f>
        <v/>
      </c>
      <c r="G90" s="28">
        <f>IF(41&lt;$D$13,0,$C$13*(1+Hipótesis!$D$14)*(1+Hipótesis!$E$14)*(1+Hipótesis!$F$14)*1)</f>
        <v/>
      </c>
      <c r="H90" s="28">
        <f>IF(42&lt;$D$13,0,$C$13*(1+Hipótesis!$D$14)*(1+Hipótesis!$E$14)*(1+Hipótesis!$F$14)*1.5)</f>
        <v/>
      </c>
      <c r="I90" s="28">
        <f>IF(43&lt;$D$13,0,$C$13*(1+Hipótesis!$D$14)*(1+Hipótesis!$E$14)*(1+Hipótesis!$F$14)*1)</f>
        <v/>
      </c>
      <c r="J90" s="28">
        <f>IF(44&lt;$D$13,0,$C$13*(1+Hipótesis!$D$14)*(1+Hipótesis!$E$14)*(1+Hipótesis!$F$14)*1)</f>
        <v/>
      </c>
      <c r="K90" s="28">
        <f>IF(45&lt;$D$13,0,$C$13*(1+Hipótesis!$D$14)*(1+Hipótesis!$E$14)*(1+Hipótesis!$F$14)*1)</f>
        <v/>
      </c>
      <c r="L90" s="28">
        <f>IF(46&lt;$D$13,0,$C$13*(1+Hipótesis!$D$14)*(1+Hipótesis!$E$14)*(1+Hipótesis!$F$14)*1)</f>
        <v/>
      </c>
      <c r="M90" s="28">
        <f>IF(47&lt;$D$13,0,$C$13*(1+Hipótesis!$D$14)*(1+Hipótesis!$E$14)*(1+Hipótesis!$F$14)*1)</f>
        <v/>
      </c>
      <c r="N90" s="28">
        <f>IF(48&lt;$D$13,0,$C$13*(1+Hipótesis!$D$14)*(1+Hipótesis!$E$14)*(1+Hipótesis!$F$14)*1.5)</f>
        <v/>
      </c>
      <c r="O90" s="29">
        <f>SUM(C90:N90)</f>
        <v/>
      </c>
    </row>
    <row r="91">
      <c r="B91" s="20" t="inlineStr">
        <is>
          <t>Total de salarios brutos</t>
        </is>
      </c>
      <c r="C91" s="18">
        <f>SUM(C85:C90)</f>
        <v/>
      </c>
      <c r="D91" s="18">
        <f>SUM(D85:D90)</f>
        <v/>
      </c>
      <c r="E91" s="18">
        <f>SUM(E85:E90)</f>
        <v/>
      </c>
      <c r="F91" s="18">
        <f>SUM(F85:F90)</f>
        <v/>
      </c>
      <c r="G91" s="18">
        <f>SUM(G85:G90)</f>
        <v/>
      </c>
      <c r="H91" s="18">
        <f>SUM(H85:H90)</f>
        <v/>
      </c>
      <c r="I91" s="18">
        <f>SUM(I85:I90)</f>
        <v/>
      </c>
      <c r="J91" s="18">
        <f>SUM(J85:J90)</f>
        <v/>
      </c>
      <c r="K91" s="18">
        <f>SUM(K85:K90)</f>
        <v/>
      </c>
      <c r="L91" s="18">
        <f>SUM(L85:L90)</f>
        <v/>
      </c>
      <c r="M91" s="18">
        <f>SUM(M85:M90)</f>
        <v/>
      </c>
      <c r="N91" s="18">
        <f>SUM(N85:N90)</f>
        <v/>
      </c>
      <c r="O91" s="29">
        <f>SUM(C91:N91)</f>
        <v/>
      </c>
    </row>
    <row r="92">
      <c r="B92" s="13" t="inlineStr">
        <is>
          <t xml:space="preserve">    Cargas sociales</t>
        </is>
      </c>
      <c r="C92" s="28">
        <f>C91*$C$28</f>
        <v/>
      </c>
      <c r="D92" s="28">
        <f>D91*$C$28</f>
        <v/>
      </c>
      <c r="E92" s="28">
        <f>E91*$C$28</f>
        <v/>
      </c>
      <c r="F92" s="28">
        <f>F91*$C$28</f>
        <v/>
      </c>
      <c r="G92" s="28">
        <f>G91*$C$28</f>
        <v/>
      </c>
      <c r="H92" s="28">
        <f>H91*$C$28</f>
        <v/>
      </c>
      <c r="I92" s="28">
        <f>I91*$C$28</f>
        <v/>
      </c>
      <c r="J92" s="28">
        <f>J91*$C$28</f>
        <v/>
      </c>
      <c r="K92" s="28">
        <f>K91*$C$28</f>
        <v/>
      </c>
      <c r="L92" s="28">
        <f>L91*$C$28</f>
        <v/>
      </c>
      <c r="M92" s="28">
        <f>M91*$C$28</f>
        <v/>
      </c>
      <c r="N92" s="28">
        <f>N91*$C$28</f>
        <v/>
      </c>
      <c r="O92" s="29">
        <f>SUM(C92:N92)</f>
        <v/>
      </c>
    </row>
    <row r="93">
      <c r="A93" s="20" t="inlineStr">
        <is>
          <t>TOTAL</t>
        </is>
      </c>
      <c r="B93" s="20" t="inlineStr">
        <is>
          <t>Costo total de RRHH</t>
        </is>
      </c>
      <c r="C93" s="18">
        <f>C91+C92</f>
        <v/>
      </c>
      <c r="D93" s="18">
        <f>D91+D92</f>
        <v/>
      </c>
      <c r="E93" s="18">
        <f>E91+E92</f>
        <v/>
      </c>
      <c r="F93" s="18">
        <f>F91+F92</f>
        <v/>
      </c>
      <c r="G93" s="18">
        <f>G91+G92</f>
        <v/>
      </c>
      <c r="H93" s="18">
        <f>H91+H92</f>
        <v/>
      </c>
      <c r="I93" s="18">
        <f>I91+I92</f>
        <v/>
      </c>
      <c r="J93" s="18">
        <f>J91+J92</f>
        <v/>
      </c>
      <c r="K93" s="18">
        <f>K91+K92</f>
        <v/>
      </c>
      <c r="L93" s="18">
        <f>L91+L92</f>
        <v/>
      </c>
      <c r="M93" s="18">
        <f>M91+M92</f>
        <v/>
      </c>
      <c r="N93" s="18">
        <f>N91+N92</f>
        <v/>
      </c>
      <c r="O93" s="29">
        <f>SUM(C93:N93)</f>
        <v/>
      </c>
    </row>
    <row r="94">
      <c r="B94" s="13" t="inlineStr">
        <is>
          <t xml:space="preserve">    Personas en la plantilla</t>
        </is>
      </c>
      <c r="C94" s="28">
        <f>COUNTIF(C85:C90,"&gt;0")</f>
        <v/>
      </c>
      <c r="D94" s="28">
        <f>COUNTIF(D85:D90,"&gt;0")</f>
        <v/>
      </c>
      <c r="E94" s="28">
        <f>COUNTIF(E85:E90,"&gt;0")</f>
        <v/>
      </c>
      <c r="F94" s="28">
        <f>COUNTIF(F85:F90,"&gt;0")</f>
        <v/>
      </c>
      <c r="G94" s="28">
        <f>COUNTIF(G85:G90,"&gt;0")</f>
        <v/>
      </c>
      <c r="H94" s="28">
        <f>COUNTIF(H85:H90,"&gt;0")</f>
        <v/>
      </c>
      <c r="I94" s="28">
        <f>COUNTIF(I85:I90,"&gt;0")</f>
        <v/>
      </c>
      <c r="J94" s="28">
        <f>COUNTIF(J85:J90,"&gt;0")</f>
        <v/>
      </c>
      <c r="K94" s="28">
        <f>COUNTIF(K85:K90,"&gt;0")</f>
        <v/>
      </c>
      <c r="L94" s="28">
        <f>COUNTIF(L85:L90,"&gt;0")</f>
        <v/>
      </c>
      <c r="M94" s="28">
        <f>COUNTIF(M85:M90,"&gt;0")</f>
        <v/>
      </c>
      <c r="N94" s="28">
        <f>COUNTIF(N85:N90,"&gt;0")</f>
        <v/>
      </c>
      <c r="O94" s="29">
        <f>N94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15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« Inicio</t>
        </is>
      </c>
    </row>
    <row r="2" ht="24" customHeight="1">
      <c r="B2" s="8" t="inlineStr">
        <is>
          <t>GRÁFICOS</t>
        </is>
      </c>
    </row>
    <row r="3">
      <c r="B3" s="3" t="inlineStr">
        <is>
          <t>La operación en cuatro imágenes. Los datos de abajo no están tipeados: son fórmulas que apuntan a las hojas de origen, así que los gráficos siguen al modelo cuando cambia un supuesto. Sólo usan hojas de esta entrega, para que viajen con ella.</t>
        </is>
      </c>
    </row>
    <row r="4"/>
    <row r="5">
      <c r="B5" s="9" t="inlineStr">
        <is>
          <t>Datos de los gráficos</t>
        </is>
      </c>
      <c r="C5" s="10" t="n"/>
      <c r="D5" s="10" t="n"/>
      <c r="E5" s="10" t="n"/>
      <c r="F5" s="10" t="n"/>
      <c r="G5" s="10" t="n"/>
      <c r="H5" s="10" t="n"/>
    </row>
    <row r="6">
      <c r="B6" s="20" t="inlineStr">
        <is>
          <t>Concepto</t>
        </is>
      </c>
      <c r="C6" s="11" t="n">
        <v>2027</v>
      </c>
      <c r="D6" s="11" t="n">
        <v>2028</v>
      </c>
      <c r="E6" s="11" t="n">
        <v>2029</v>
      </c>
      <c r="F6" s="11" t="n">
        <v>2030</v>
      </c>
    </row>
    <row r="7">
      <c r="B7" s="13" t="inlineStr">
        <is>
          <t>Ingresos</t>
        </is>
      </c>
      <c r="C7" s="28">
        <f>'Modelo de ingresos'!O26</f>
        <v/>
      </c>
      <c r="D7" s="28">
        <f>'Modelo de ingresos'!O49</f>
        <v/>
      </c>
      <c r="E7" s="28">
        <f>'Modelo de ingresos'!O72</f>
        <v/>
      </c>
      <c r="F7" s="28">
        <f>'Modelo de ingresos'!O95</f>
        <v/>
      </c>
    </row>
    <row r="8">
      <c r="B8" s="13" t="inlineStr">
        <is>
          <t>Egresos</t>
        </is>
      </c>
      <c r="C8" s="28">
        <f>'Modelo de Egresos'!O13</f>
        <v/>
      </c>
      <c r="D8" s="28">
        <f>'Modelo de Egresos'!O26</f>
        <v/>
      </c>
      <c r="E8" s="28">
        <f>'Modelo de Egresos'!O39</f>
        <v/>
      </c>
      <c r="F8" s="28">
        <f>'Modelo de Egresos'!O52</f>
        <v/>
      </c>
    </row>
    <row r="9">
      <c r="B9" s="13" t="inlineStr">
        <is>
          <t>Resultado operativo</t>
        </is>
      </c>
      <c r="C9" s="28">
        <f>'Modelo de Egresos'!O16</f>
        <v/>
      </c>
      <c r="D9" s="28">
        <f>'Modelo de Egresos'!O29</f>
        <v/>
      </c>
      <c r="E9" s="28">
        <f>'Modelo de Egresos'!O42</f>
        <v/>
      </c>
      <c r="F9" s="28">
        <f>'Modelo de Egresos'!O55</f>
        <v/>
      </c>
    </row>
    <row r="10">
      <c r="B10" s="13" t="inlineStr">
        <is>
          <t>Costos fijos</t>
        </is>
      </c>
      <c r="C10" s="28">
        <f>'Modelo de Egresos'!O10</f>
        <v/>
      </c>
      <c r="D10" s="28">
        <f>'Modelo de Egresos'!O23</f>
        <v/>
      </c>
      <c r="E10" s="28">
        <f>'Modelo de Egresos'!O36</f>
        <v/>
      </c>
      <c r="F10" s="28">
        <f>'Modelo de Egresos'!O49</f>
        <v/>
      </c>
    </row>
    <row r="11">
      <c r="B11" s="13" t="inlineStr">
        <is>
          <t>Costos variables</t>
        </is>
      </c>
      <c r="C11" s="28">
        <f>'Modelo de Egresos'!O11</f>
        <v/>
      </c>
      <c r="D11" s="28">
        <f>'Modelo de Egresos'!O24</f>
        <v/>
      </c>
      <c r="E11" s="28">
        <f>'Modelo de Egresos'!O37</f>
        <v/>
      </c>
      <c r="F11" s="28">
        <f>'Modelo de Egresos'!O50</f>
        <v/>
      </c>
    </row>
    <row r="12">
      <c r="B12" s="13" t="inlineStr">
        <is>
          <t>Costos de RRHH</t>
        </is>
      </c>
      <c r="C12" s="28">
        <f>'Modelo de Egresos'!O12</f>
        <v/>
      </c>
      <c r="D12" s="28">
        <f>'Modelo de Egresos'!O25</f>
        <v/>
      </c>
      <c r="E12" s="28">
        <f>'Modelo de Egresos'!O38</f>
        <v/>
      </c>
      <c r="F12" s="28">
        <f>'Modelo de Egresos'!O51</f>
        <v/>
      </c>
    </row>
    <row r="13">
      <c r="B13" s="13" t="inlineStr">
        <is>
          <t>Clientes al cierre</t>
        </is>
      </c>
      <c r="C13" s="25">
        <f>'Proyección de ventas'!N33</f>
        <v/>
      </c>
      <c r="D13" s="25">
        <f>'Proyección de ventas'!N63</f>
        <v/>
      </c>
      <c r="E13" s="25">
        <f>'Proyección de ventas'!N93</f>
        <v/>
      </c>
      <c r="F13" s="25">
        <f>'Proyección de ventas'!N123</f>
        <v/>
      </c>
    </row>
    <row r="14">
      <c r="B14" s="13" t="inlineStr">
        <is>
          <t>Equipos administrados</t>
        </is>
      </c>
      <c r="C14" s="28">
        <f>'Proyección de ventas'!N34</f>
        <v/>
      </c>
      <c r="D14" s="28">
        <f>'Proyección de ventas'!N64</f>
        <v/>
      </c>
      <c r="E14" s="28">
        <f>'Proyección de ventas'!N94</f>
        <v/>
      </c>
      <c r="F14" s="28">
        <f>'Proyección de ventas'!N124</f>
        <v/>
      </c>
    </row>
    <row r="15">
      <c r="B15" s="13" t="inlineStr">
        <is>
          <t>Personas en la plantilla</t>
        </is>
      </c>
      <c r="C15" s="28">
        <f>'RRHH'!N49</f>
        <v/>
      </c>
      <c r="D15" s="28">
        <f>'RRHH'!N64</f>
        <v/>
      </c>
      <c r="E15" s="28">
        <f>'RRHH'!N79</f>
        <v/>
      </c>
      <c r="F15" s="28">
        <f>'RRHH'!N94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2026-09-17T15:16:11Z</dcterms:created>
  <dcterms:modified xmlns:dcterms="http://purl.org/dc/terms/" xmlns:xsi="http://www.w3.org/2001/XMLSchema-instance" xsi:type="dcterms:W3CDTF">2026-09-17T15:17:04Z</dcterms:modified>
</cp:coreProperties>
</file>