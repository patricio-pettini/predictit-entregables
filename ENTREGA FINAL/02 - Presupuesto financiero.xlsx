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drawings/drawing10.xml" ContentType="application/vnd.openxmlformats-officedocument.drawing+xml"/>
  <Override PartName="/xl/worksheets/sheet14.xml" ContentType="application/vnd.openxmlformats-officedocument.spreadsheetml.worksheet+xml"/>
  <Override PartName="/xl/drawings/drawing11.xml" ContentType="application/vnd.openxmlformats-officedocument.drawing+xml"/>
  <Override PartName="/xl/worksheets/sheet15.xml" ContentType="application/vnd.openxmlformats-officedocument.spreadsheetml.worksheet+xml"/>
  <Override PartName="/xl/drawings/drawing12.xml" ContentType="application/vnd.openxmlformats-officedocument.drawing+xml"/>
  <Override PartName="/xl/worksheets/sheet16.xml" ContentType="application/vnd.openxmlformats-officedocument.spreadsheetml.worksheet+xml"/>
  <Override PartName="/xl/drawings/drawing13.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4.xml" ContentType="application/vnd.openxmlformats-officedocument.drawing+xml"/>
  <Override PartName="/xl/worksheets/sheet19.xml" ContentType="application/vnd.openxmlformats-officedocument.spreadsheetml.worksheet+xml"/>
  <Override PartName="/xl/drawings/drawing15.xml" ContentType="application/vnd.openxmlformats-officedocument.drawing+xml"/>
  <Override PartName="/xl/worksheets/sheet20.xml" ContentType="application/vnd.openxmlformats-officedocument.spreadsheetml.worksheet+xml"/>
  <Override PartName="/xl/drawings/drawing16.xml" ContentType="application/vnd.openxmlformats-officedocument.drawing+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icio" sheetId="1" state="visible" r:id="rId1"/>
    <sheet xmlns:r="http://schemas.openxmlformats.org/officeDocument/2006/relationships" name="Hipótesis" sheetId="2" state="visible" r:id="rId2"/>
    <sheet xmlns:r="http://schemas.openxmlformats.org/officeDocument/2006/relationships" name="Planes" sheetId="3" state="visible" r:id="rId3"/>
    <sheet xmlns:r="http://schemas.openxmlformats.org/officeDocument/2006/relationships" name="Proyección de ventas" sheetId="4" state="visible" r:id="rId4"/>
    <sheet xmlns:r="http://schemas.openxmlformats.org/officeDocument/2006/relationships" name="Modelo de ingresos" sheetId="5" state="visible" r:id="rId5"/>
    <sheet xmlns:r="http://schemas.openxmlformats.org/officeDocument/2006/relationships" name="Modelo de Egresos" sheetId="6" state="visible" r:id="rId6"/>
    <sheet xmlns:r="http://schemas.openxmlformats.org/officeDocument/2006/relationships" name="Costos Fijos" sheetId="7" state="visible" r:id="rId7"/>
    <sheet xmlns:r="http://schemas.openxmlformats.org/officeDocument/2006/relationships" name="Costos Variables" sheetId="8" state="visible" r:id="rId8"/>
    <sheet xmlns:r="http://schemas.openxmlformats.org/officeDocument/2006/relationships" name="RRHH" sheetId="9" state="visible" r:id="rId9"/>
    <sheet xmlns:r="http://schemas.openxmlformats.org/officeDocument/2006/relationships" name="Modelo de Inversión" sheetId="10" state="visible" r:id="rId10"/>
    <sheet xmlns:r="http://schemas.openxmlformats.org/officeDocument/2006/relationships" name="Amortizaciones" sheetId="11" state="visible" r:id="rId11"/>
    <sheet xmlns:r="http://schemas.openxmlformats.org/officeDocument/2006/relationships" name="Impuestos" sheetId="12" state="visible" r:id="rId12"/>
    <sheet xmlns:r="http://schemas.openxmlformats.org/officeDocument/2006/relationships" name="Métricas SaaS" sheetId="13" state="visible" r:id="rId13"/>
    <sheet xmlns:r="http://schemas.openxmlformats.org/officeDocument/2006/relationships" name="Gráficos" sheetId="14" state="visible" r:id="rId14"/>
    <sheet xmlns:r="http://schemas.openxmlformats.org/officeDocument/2006/relationships" name="Gráficos de la evaluación" sheetId="15" state="visible" r:id="rId15"/>
    <sheet xmlns:r="http://schemas.openxmlformats.org/officeDocument/2006/relationships" name="Flujo de Fondos" sheetId="16" state="visible" r:id="rId16"/>
    <sheet xmlns:r="http://schemas.openxmlformats.org/officeDocument/2006/relationships" name="Matriz de riesgos" sheetId="17" state="visible" r:id="rId17"/>
    <sheet xmlns:r="http://schemas.openxmlformats.org/officeDocument/2006/relationships" name="Escenario base" sheetId="18" state="visible" r:id="rId18"/>
    <sheet xmlns:r="http://schemas.openxmlformats.org/officeDocument/2006/relationships" name="Escenario optimista" sheetId="19" state="visible" r:id="rId19"/>
    <sheet xmlns:r="http://schemas.openxmlformats.org/officeDocument/2006/relationships" name="Escenario pesimista" sheetId="20" state="visible" r:id="rId20"/>
    <sheet xmlns:r="http://schemas.openxmlformats.org/officeDocument/2006/relationships" name="Planes de contingencia" sheetId="21" state="visible" r:id="rId2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2">
    <font>
      <name val="Calibri"/>
      <family val="2"/>
      <color theme="1"/>
      <sz val="11"/>
      <scheme val="minor"/>
    </font>
    <font>
      <name val="Calibri"/>
      <b val="1"/>
      <color rgb="001F4E5F"/>
      <sz val="18"/>
    </font>
    <font>
      <name val="Calibri"/>
      <color rgb="00595959"/>
      <sz val="11"/>
    </font>
    <font>
      <name val="Calibri"/>
      <i val="1"/>
      <color rgb="00808080"/>
      <sz val="9"/>
    </font>
    <font>
      <name val="Calibri"/>
      <b val="1"/>
      <color rgb="007F6000"/>
      <sz val="10"/>
    </font>
    <font>
      <name val="Calibri"/>
      <b val="1"/>
      <color rgb="001F4E5F"/>
      <sz val="11"/>
    </font>
    <font>
      <name val="Calibri"/>
      <color rgb="000563C1"/>
      <sz val="10"/>
      <u val="single"/>
    </font>
    <font>
      <name val="Calibri"/>
      <b val="1"/>
      <color rgb="00FFFFFF"/>
      <sz val="14"/>
    </font>
    <font>
      <name val="Calibri"/>
      <color rgb="000563C1"/>
      <sz val="9"/>
      <u val="single"/>
    </font>
    <font>
      <name val="Calibri"/>
      <b val="1"/>
      <sz val="10"/>
    </font>
    <font>
      <name val="Calibri"/>
      <sz val="10"/>
    </font>
    <font>
      <name val="Calibri"/>
      <b val="1"/>
      <color rgb="00FFFFFF"/>
      <sz val="11"/>
    </font>
  </fonts>
  <fills count="7">
    <fill>
      <patternFill/>
    </fill>
    <fill>
      <patternFill patternType="gray125"/>
    </fill>
    <fill>
      <patternFill patternType="solid">
        <fgColor rgb="00FFF2CC"/>
      </patternFill>
    </fill>
    <fill>
      <patternFill patternType="solid">
        <fgColor rgb="001F4E5F"/>
      </patternFill>
    </fill>
    <fill>
      <patternFill patternType="solid">
        <fgColor rgb="00F2F2F2"/>
      </patternFill>
    </fill>
    <fill>
      <patternFill patternType="solid">
        <fgColor rgb="00E2EFDA"/>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8" fillId="0" borderId="0" pivotButton="0" quotePrefix="0" xfId="0"/>
    <xf numFmtId="0" fontId="7" fillId="3" borderId="0" applyAlignment="1" pivotButton="0" quotePrefix="0" xfId="0">
      <alignment vertical="center" indent="1"/>
    </xf>
    <xf numFmtId="0" fontId="5" fillId="6" borderId="0" pivotButton="0" quotePrefix="0" xfId="0"/>
    <xf numFmtId="0" fontId="0" fillId="6" borderId="0" pivotButton="0" quotePrefix="0" xfId="0"/>
    <xf numFmtId="0" fontId="9" fillId="4" borderId="0" applyAlignment="1" pivotButton="0" quotePrefix="0" xfId="0">
      <alignment horizontal="center"/>
    </xf>
    <xf numFmtId="0" fontId="9" fillId="4" borderId="0" pivotButton="0" quotePrefix="0" xfId="0"/>
    <xf numFmtId="0" fontId="10" fillId="0" borderId="0" pivotButton="0" quotePrefix="0" xfId="0"/>
    <xf numFmtId="164" fontId="10" fillId="2" borderId="1" pivotButton="0" quotePrefix="0" xfId="0"/>
    <xf numFmtId="3" fontId="10" fillId="2" borderId="1" pivotButton="0" quotePrefix="0" xfId="0"/>
    <xf numFmtId="164" fontId="10" fillId="0" borderId="0" pivotButton="0" quotePrefix="0" xfId="0"/>
    <xf numFmtId="165" fontId="10" fillId="2" borderId="1" pivotButton="0" quotePrefix="0" xfId="0"/>
    <xf numFmtId="3" fontId="9" fillId="0" borderId="0" pivotButton="0" quotePrefix="0" xfId="0"/>
    <xf numFmtId="0" fontId="3" fillId="6" borderId="0" pivotButton="0" quotePrefix="0" xfId="0"/>
    <xf numFmtId="0" fontId="9" fillId="0" borderId="0" pivotButton="0" quotePrefix="0" xfId="0"/>
    <xf numFmtId="10" fontId="9" fillId="0" borderId="0" pivotButton="0" quotePrefix="0" xfId="0"/>
    <xf numFmtId="0" fontId="9" fillId="4" borderId="1" applyAlignment="1" pivotButton="0" quotePrefix="0" xfId="0">
      <alignment horizontal="center" vertical="center" wrapText="1"/>
    </xf>
    <xf numFmtId="164" fontId="9" fillId="0" borderId="0" pivotButton="0" quotePrefix="0" xfId="0"/>
    <xf numFmtId="0" fontId="3" fillId="0" borderId="0" applyAlignment="1" pivotButton="0" quotePrefix="0" xfId="0">
      <alignment vertical="top" wrapText="1"/>
    </xf>
    <xf numFmtId="165" fontId="10" fillId="0" borderId="0" pivotButton="0" quotePrefix="0" xfId="0"/>
    <xf numFmtId="0" fontId="9" fillId="4" borderId="1" applyAlignment="1" pivotButton="0" quotePrefix="0" xfId="0">
      <alignment horizontal="center"/>
    </xf>
    <xf numFmtId="0" fontId="9" fillId="5" borderId="1" applyAlignment="1" pivotButton="0" quotePrefix="0" xfId="0">
      <alignment horizontal="center"/>
    </xf>
    <xf numFmtId="3" fontId="10" fillId="0" borderId="0" pivotButton="0" quotePrefix="0" xfId="0"/>
    <xf numFmtId="3" fontId="9" fillId="5" borderId="0" pivotButton="0" quotePrefix="0" xfId="0"/>
    <xf numFmtId="165" fontId="9" fillId="5" borderId="0" pivotButton="0" quotePrefix="0" xfId="0"/>
    <xf numFmtId="165" fontId="9" fillId="0" borderId="0" pivotButton="0" quotePrefix="0" xfId="0"/>
    <xf numFmtId="3" fontId="0" fillId="0" borderId="0" pivotButton="0" quotePrefix="0" xfId="0"/>
    <xf numFmtId="165" fontId="9" fillId="6" borderId="0" pivotButton="0" quotePrefix="0" xfId="0"/>
    <xf numFmtId="3" fontId="0" fillId="6" borderId="0" pivotButton="0" quotePrefix="0" xfId="0"/>
    <xf numFmtId="164" fontId="10" fillId="6" borderId="0" pivotButton="0" quotePrefix="0" xfId="0"/>
    <xf numFmtId="10" fontId="10" fillId="0" borderId="0" pivotButton="0" quotePrefix="0" xfId="0"/>
    <xf numFmtId="0" fontId="10" fillId="0" borderId="0" applyAlignment="1" pivotButton="0" quotePrefix="0" xfId="0">
      <alignment horizontal="center"/>
    </xf>
    <xf numFmtId="10" fontId="10" fillId="2" borderId="1" pivotButton="0" quotePrefix="0" xfId="0"/>
    <xf numFmtId="0" fontId="9" fillId="4" borderId="1" pivotButton="0" quotePrefix="0" xfId="0"/>
    <xf numFmtId="0" fontId="10" fillId="0" borderId="0" applyAlignment="1" pivotButton="0" quotePrefix="0" xfId="0">
      <alignment vertical="top" wrapText="1"/>
    </xf>
    <xf numFmtId="0" fontId="3" fillId="0" borderId="0" applyAlignment="1" pivotButton="0" quotePrefix="0" xfId="0">
      <alignment horizontal="center"/>
    </xf>
    <xf numFmtId="165" fontId="9" fillId="0" borderId="0" applyAlignment="1" pivotButton="0" quotePrefix="0" xfId="0">
      <alignment horizontal="center"/>
    </xf>
    <xf numFmtId="0" fontId="10" fillId="0" borderId="1" applyAlignment="1" pivotButton="0" quotePrefix="0" xfId="0">
      <alignment vertical="top" wrapText="1"/>
    </xf>
    <xf numFmtId="2" fontId="10" fillId="2" borderId="1" pivotButton="0" quotePrefix="0" xfId="0"/>
    <xf numFmtId="0" fontId="1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Cartera al cierre, por segmento</a:t>
            </a:r>
          </a:p>
        </rich>
      </tx>
    </title>
    <plotArea>
      <barChart>
        <barDir val="col"/>
        <grouping val="stacked"/>
        <varyColors val="0"/>
        <ser>
          <idx val="0"/>
          <order val="0"/>
          <tx>
            <strRef>
              <f>'Proyección de ventas'!Q6</f>
            </strRef>
          </tx>
          <spPr>
            <a:ln xmlns:a="http://schemas.openxmlformats.org/drawingml/2006/main">
              <a:prstDash val="solid"/>
            </a:ln>
          </spPr>
          <cat>
            <numRef>
              <f>'Proyección de ventas'!$R$5:$U$5</f>
            </numRef>
          </cat>
          <val>
            <numRef>
              <f>'Proyección de ventas'!$R$6:$U$6</f>
            </numRef>
          </val>
        </ser>
        <ser>
          <idx val="1"/>
          <order val="1"/>
          <tx>
            <strRef>
              <f>'Proyección de ventas'!Q7</f>
            </strRef>
          </tx>
          <spPr>
            <a:ln xmlns:a="http://schemas.openxmlformats.org/drawingml/2006/main">
              <a:prstDash val="solid"/>
            </a:ln>
          </spPr>
          <cat>
            <numRef>
              <f>'Proyección de ventas'!$R$5:$U$5</f>
            </numRef>
          </cat>
          <val>
            <numRef>
              <f>'Proyección de ventas'!$R$7:$U$7</f>
            </numRef>
          </val>
        </ser>
        <ser>
          <idx val="2"/>
          <order val="2"/>
          <tx>
            <strRef>
              <f>'Proyección de ventas'!Q8</f>
            </strRef>
          </tx>
          <spPr>
            <a:ln xmlns:a="http://schemas.openxmlformats.org/drawingml/2006/main">
              <a:prstDash val="solid"/>
            </a:ln>
          </spPr>
          <cat>
            <numRef>
              <f>'Proyección de ventas'!$R$5:$U$5</f>
            </numRef>
          </cat>
          <val>
            <numRef>
              <f>'Proyección de ventas'!$R$8:$U$8</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Ingresos del año, por plan</a:t>
            </a:r>
          </a:p>
        </rich>
      </tx>
    </title>
    <plotArea>
      <barChart>
        <barDir val="col"/>
        <grouping val="stacked"/>
        <varyColors val="0"/>
        <ser>
          <idx val="0"/>
          <order val="0"/>
          <tx>
            <strRef>
              <f>'Modelo de ingresos'!Q6</f>
            </strRef>
          </tx>
          <spPr>
            <a:ln xmlns:a="http://schemas.openxmlformats.org/drawingml/2006/main">
              <a:prstDash val="solid"/>
            </a:ln>
          </spPr>
          <cat>
            <numRef>
              <f>'Modelo de ingresos'!$R$5:$U$5</f>
            </numRef>
          </cat>
          <val>
            <numRef>
              <f>'Modelo de ingresos'!$R$6:$U$6</f>
            </numRef>
          </val>
        </ser>
        <ser>
          <idx val="1"/>
          <order val="1"/>
          <tx>
            <strRef>
              <f>'Modelo de ingresos'!Q7</f>
            </strRef>
          </tx>
          <spPr>
            <a:ln xmlns:a="http://schemas.openxmlformats.org/drawingml/2006/main">
              <a:prstDash val="solid"/>
            </a:ln>
          </spPr>
          <cat>
            <numRef>
              <f>'Modelo de ingresos'!$R$5:$U$5</f>
            </numRef>
          </cat>
          <val>
            <numRef>
              <f>'Modelo de ingresos'!$R$7:$U$7</f>
            </numRef>
          </val>
        </ser>
        <ser>
          <idx val="2"/>
          <order val="2"/>
          <tx>
            <strRef>
              <f>'Modelo de ingresos'!Q8</f>
            </strRef>
          </tx>
          <spPr>
            <a:ln xmlns:a="http://schemas.openxmlformats.org/drawingml/2006/main">
              <a:prstDash val="solid"/>
            </a:ln>
          </spPr>
          <cat>
            <numRef>
              <f>'Modelo de ingresos'!$R$5:$U$5</f>
            </numRef>
          </cat>
          <val>
            <numRef>
              <f>'Modelo de ingresos'!$R$8:$U$8</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Composición de los egresos</a:t>
            </a:r>
          </a:p>
        </rich>
      </tx>
    </title>
    <plotArea>
      <barChart>
        <barDir val="col"/>
        <grouping val="stacked"/>
        <varyColors val="0"/>
        <ser>
          <idx val="0"/>
          <order val="0"/>
          <tx>
            <strRef>
              <f>'Modelo de Egresos'!Q6</f>
            </strRef>
          </tx>
          <spPr>
            <a:ln xmlns:a="http://schemas.openxmlformats.org/drawingml/2006/main">
              <a:prstDash val="solid"/>
            </a:ln>
          </spPr>
          <cat>
            <numRef>
              <f>'Modelo de Egresos'!$R$5:$U$5</f>
            </numRef>
          </cat>
          <val>
            <numRef>
              <f>'Modelo de Egresos'!$R$6:$U$6</f>
            </numRef>
          </val>
        </ser>
        <ser>
          <idx val="1"/>
          <order val="1"/>
          <tx>
            <strRef>
              <f>'Modelo de Egresos'!Q7</f>
            </strRef>
          </tx>
          <spPr>
            <a:ln xmlns:a="http://schemas.openxmlformats.org/drawingml/2006/main">
              <a:prstDash val="solid"/>
            </a:ln>
          </spPr>
          <cat>
            <numRef>
              <f>'Modelo de Egresos'!$R$5:$U$5</f>
            </numRef>
          </cat>
          <val>
            <numRef>
              <f>'Modelo de Egresos'!$R$7:$U$7</f>
            </numRef>
          </val>
        </ser>
        <ser>
          <idx val="2"/>
          <order val="2"/>
          <tx>
            <strRef>
              <f>'Modelo de Egresos'!Q8</f>
            </strRef>
          </tx>
          <spPr>
            <a:ln xmlns:a="http://schemas.openxmlformats.org/drawingml/2006/main">
              <a:prstDash val="solid"/>
            </a:ln>
          </spPr>
          <cat>
            <numRef>
              <f>'Modelo de Egresos'!$R$5:$U$5</f>
            </numRef>
          </cat>
          <val>
            <numRef>
              <f>'Modelo de Egresos'!$R$8:$U$8</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Costos fijos del año</a:t>
            </a:r>
          </a:p>
        </rich>
      </tx>
    </title>
    <plotArea>
      <barChart>
        <barDir val="col"/>
        <grouping val="clustered"/>
        <varyColors val="0"/>
        <ser>
          <idx val="0"/>
          <order val="0"/>
          <tx>
            <strRef>
              <f>'Costos Fijos'!Q6</f>
            </strRef>
          </tx>
          <spPr>
            <a:ln xmlns:a="http://schemas.openxmlformats.org/drawingml/2006/main">
              <a:prstDash val="solid"/>
            </a:ln>
          </spPr>
          <cat>
            <numRef>
              <f>'Costos Fijos'!$R$5:$U$5</f>
            </numRef>
          </cat>
          <val>
            <numRef>
              <f>'Costos Fijos'!$R$6:$U$6</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Costo variable por componente</a:t>
            </a:r>
          </a:p>
        </rich>
      </tx>
    </title>
    <plotArea>
      <barChart>
        <barDir val="col"/>
        <grouping val="stacked"/>
        <varyColors val="0"/>
        <ser>
          <idx val="0"/>
          <order val="0"/>
          <tx>
            <strRef>
              <f>'Costos Variables'!Q6</f>
            </strRef>
          </tx>
          <spPr>
            <a:ln xmlns:a="http://schemas.openxmlformats.org/drawingml/2006/main">
              <a:prstDash val="solid"/>
            </a:ln>
          </spPr>
          <cat>
            <numRef>
              <f>'Costos Variables'!$R$5:$U$5</f>
            </numRef>
          </cat>
          <val>
            <numRef>
              <f>'Costos Variables'!$R$6:$U$6</f>
            </numRef>
          </val>
        </ser>
        <ser>
          <idx val="1"/>
          <order val="1"/>
          <tx>
            <strRef>
              <f>'Costos Variables'!Q7</f>
            </strRef>
          </tx>
          <spPr>
            <a:ln xmlns:a="http://schemas.openxmlformats.org/drawingml/2006/main">
              <a:prstDash val="solid"/>
            </a:ln>
          </spPr>
          <cat>
            <numRef>
              <f>'Costos Variables'!$R$5:$U$5</f>
            </numRef>
          </cat>
          <val>
            <numRef>
              <f>'Costos Variables'!$R$7:$U$7</f>
            </numRef>
          </val>
        </ser>
        <ser>
          <idx val="2"/>
          <order val="2"/>
          <tx>
            <strRef>
              <f>'Costos Variables'!Q8</f>
            </strRef>
          </tx>
          <spPr>
            <a:ln xmlns:a="http://schemas.openxmlformats.org/drawingml/2006/main">
              <a:prstDash val="solid"/>
            </a:ln>
          </spPr>
          <cat>
            <numRef>
              <f>'Costos Variables'!$R$5:$U$5</f>
            </numRef>
          </cat>
          <val>
            <numRef>
              <f>'Costos Variables'!$R$8:$U$8</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Costo de personal: sueldos y cargas</a:t>
            </a:r>
          </a:p>
        </rich>
      </tx>
    </title>
    <plotArea>
      <barChart>
        <barDir val="col"/>
        <grouping val="stacked"/>
        <varyColors val="0"/>
        <ser>
          <idx val="0"/>
          <order val="0"/>
          <tx>
            <strRef>
              <f>'RRHH'!Q6</f>
            </strRef>
          </tx>
          <spPr>
            <a:ln xmlns:a="http://schemas.openxmlformats.org/drawingml/2006/main">
              <a:prstDash val="solid"/>
            </a:ln>
          </spPr>
          <cat>
            <numRef>
              <f>'RRHH'!$R$5:$U$5</f>
            </numRef>
          </cat>
          <val>
            <numRef>
              <f>'RRHH'!$R$6:$U$6</f>
            </numRef>
          </val>
        </ser>
        <ser>
          <idx val="1"/>
          <order val="1"/>
          <tx>
            <strRef>
              <f>'RRHH'!Q7</f>
            </strRef>
          </tx>
          <spPr>
            <a:ln xmlns:a="http://schemas.openxmlformats.org/drawingml/2006/main">
              <a:prstDash val="solid"/>
            </a:ln>
          </spPr>
          <cat>
            <numRef>
              <f>'RRHH'!$R$5:$U$5</f>
            </numRef>
          </cat>
          <val>
            <numRef>
              <f>'RRHH'!$R$7:$U$7</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Personas en la plantilla al cierre</a:t>
            </a:r>
          </a:p>
        </rich>
      </tx>
    </title>
    <plotArea>
      <lineChart>
        <grouping val="standard"/>
        <varyColors val="0"/>
        <ser>
          <idx val="0"/>
          <order val="0"/>
          <tx>
            <strRef>
              <f>'RRHH'!Q9</f>
            </strRef>
          </tx>
          <spPr>
            <a:ln xmlns:a="http://schemas.openxmlformats.org/drawingml/2006/main">
              <a:prstDash val="solid"/>
            </a:ln>
          </spPr>
          <marker>
            <symbol val="none"/>
            <spPr>
              <a:ln xmlns:a="http://schemas.openxmlformats.org/drawingml/2006/main">
                <a:prstDash val="solid"/>
              </a:ln>
            </spPr>
          </marker>
          <cat>
            <numRef>
              <f>'RRHH'!$R$5:$U$5</f>
            </numRef>
          </cat>
          <val>
            <numRef>
              <f>'RRHH'!$R$9:$U$9</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Composición de la inversión del proyecto</a:t>
            </a:r>
          </a:p>
        </rich>
      </tx>
    </title>
    <plotArea>
      <pieChart>
        <varyColors val="1"/>
        <ser>
          <idx val="0"/>
          <order val="0"/>
          <spPr>
            <a:ln xmlns:a="http://schemas.openxmlformats.org/drawingml/2006/main">
              <a:prstDash val="solid"/>
            </a:ln>
          </spPr>
          <cat>
            <numRef>
              <f>'Modelo de Inversión'!$C$7:$C$13</f>
            </numRef>
          </cat>
          <val>
            <numRef>
              <f>'Modelo de Inversión'!$F$7:$F$13</f>
            </numRef>
          </val>
        </ser>
        <firstSliceAng val="0"/>
      </pieChart>
    </plotArea>
    <legend>
      <legendPos val="b"/>
      <overlay val="0"/>
    </legend>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Cargo por amortización, por año</a:t>
            </a:r>
          </a:p>
        </rich>
      </tx>
    </title>
    <plotArea>
      <barChart>
        <barDir val="col"/>
        <grouping val="clustered"/>
        <varyColors val="0"/>
        <ser>
          <idx val="0"/>
          <order val="0"/>
          <tx>
            <strRef>
              <f>'Amortizaciones'!$C$14</f>
            </strRef>
          </tx>
          <spPr>
            <a:ln xmlns:a="http://schemas.openxmlformats.org/drawingml/2006/main">
              <a:prstDash val="solid"/>
            </a:ln>
          </spPr>
          <cat>
            <numRef>
              <f>'Amortizaciones'!$G$6:$J$6</f>
            </numRef>
          </cat>
          <val>
            <numRef>
              <f>'Amortizaciones'!$G$14:$J$14</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10.xml><?xml version="1.0" encoding="utf-8"?>
<chartSpace xmlns="http://schemas.openxmlformats.org/drawingml/2006/chart">
  <style val="2"/>
  <chart>
    <title>
      <tx>
        <rich>
          <a:bodyPr xmlns:a="http://schemas.openxmlformats.org/drawingml/2006/main"/>
          <a:p xmlns:a="http://schemas.openxmlformats.org/drawingml/2006/main">
            <a:pPr>
              <a:defRPr/>
            </a:pPr>
            <a:r>
              <a:t>Carga tributaria que es costo</a:t>
            </a:r>
          </a:p>
        </rich>
      </tx>
    </title>
    <plotArea>
      <barChart>
        <barDir val="col"/>
        <grouping val="clustered"/>
        <varyColors val="0"/>
        <ser>
          <idx val="0"/>
          <order val="0"/>
          <tx>
            <strRef>
              <f>'Impuestos'!$B$55</f>
            </strRef>
          </tx>
          <spPr>
            <a:ln xmlns:a="http://schemas.openxmlformats.org/drawingml/2006/main">
              <a:prstDash val="solid"/>
            </a:ln>
          </spPr>
          <cat>
            <numRef>
              <f>'Impuestos'!$E$27:$H$27</f>
            </numRef>
          </cat>
          <val>
            <numRef>
              <f>'Impuestos'!$E$55:$H$55</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11.xml><?xml version="1.0" encoding="utf-8"?>
<chartSpace xmlns="http://schemas.openxmlformats.org/drawingml/2006/chart">
  <style val="2"/>
  <chart>
    <title>
      <tx>
        <rich>
          <a:bodyPr xmlns:a="http://schemas.openxmlformats.org/drawingml/2006/main"/>
          <a:p xmlns:a="http://schemas.openxmlformats.org/drawingml/2006/main">
            <a:pPr>
              <a:defRPr/>
            </a:pPr>
            <a:r>
              <a:t>Valor del cliente contra costo de adquirirlo</a:t>
            </a:r>
          </a:p>
        </rich>
      </tx>
    </title>
    <plotArea>
      <barChart>
        <barDir val="col"/>
        <grouping val="clustered"/>
        <varyColors val="0"/>
        <ser>
          <idx val="0"/>
          <order val="0"/>
          <tx>
            <strRef>
              <f>'Métricas SaaS'!$B$19</f>
            </strRef>
          </tx>
          <spPr>
            <a:ln xmlns:a="http://schemas.openxmlformats.org/drawingml/2006/main">
              <a:prstDash val="solid"/>
            </a:ln>
          </spPr>
          <cat>
            <numRef>
              <f>'Métricas SaaS'!$E$5:$H$5</f>
            </numRef>
          </cat>
          <val>
            <numRef>
              <f>'Métricas SaaS'!$E$19:$H$19</f>
            </numRef>
          </val>
        </ser>
        <ser>
          <idx val="1"/>
          <order val="1"/>
          <tx>
            <strRef>
              <f>'Métricas SaaS'!$B$21</f>
            </strRef>
          </tx>
          <spPr>
            <a:ln xmlns:a="http://schemas.openxmlformats.org/drawingml/2006/main">
              <a:prstDash val="solid"/>
            </a:ln>
          </spPr>
          <cat>
            <numRef>
              <f>'Métricas SaaS'!$E$5:$H$5</f>
            </numRef>
          </cat>
          <val>
            <numRef>
              <f>'Métricas SaaS'!$E$21:$H$21</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12.xml><?xml version="1.0" encoding="utf-8"?>
<chartSpace xmlns="http://schemas.openxmlformats.org/drawingml/2006/chart">
  <style val="2"/>
  <chart>
    <title>
      <tx>
        <rich>
          <a:bodyPr xmlns:a="http://schemas.openxmlformats.org/drawingml/2006/main"/>
          <a:p xmlns:a="http://schemas.openxmlformats.org/drawingml/2006/main">
            <a:pPr>
              <a:defRPr/>
            </a:pPr>
            <a:r>
              <a:t>Ingresos contra egresos, por año</a:t>
            </a:r>
          </a:p>
        </rich>
      </tx>
    </title>
    <plotArea>
      <barChart>
        <barDir val="col"/>
        <grouping val="clustered"/>
        <varyColors val="0"/>
        <ser>
          <idx val="0"/>
          <order val="0"/>
          <tx>
            <strRef>
              <f>'Gráficos'!B7</f>
            </strRef>
          </tx>
          <spPr>
            <a:ln xmlns:a="http://schemas.openxmlformats.org/drawingml/2006/main">
              <a:prstDash val="solid"/>
            </a:ln>
          </spPr>
          <cat>
            <numRef>
              <f>'Gráficos'!$C$6:$F$6</f>
            </numRef>
          </cat>
          <val>
            <numRef>
              <f>'Gráficos'!$C$7:$F$7</f>
            </numRef>
          </val>
        </ser>
        <ser>
          <idx val="1"/>
          <order val="1"/>
          <tx>
            <strRef>
              <f>'Gráficos'!B8</f>
            </strRef>
          </tx>
          <spPr>
            <a:ln xmlns:a="http://schemas.openxmlformats.org/drawingml/2006/main">
              <a:prstDash val="solid"/>
            </a:ln>
          </spPr>
          <cat>
            <numRef>
              <f>'Gráficos'!$C$6:$F$6</f>
            </numRef>
          </cat>
          <val>
            <numRef>
              <f>'Gráficos'!$C$8:$F$8</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13.xml><?xml version="1.0" encoding="utf-8"?>
<chartSpace xmlns="http://schemas.openxmlformats.org/drawingml/2006/chart">
  <style val="2"/>
  <chart>
    <title>
      <tx>
        <rich>
          <a:bodyPr xmlns:a="http://schemas.openxmlformats.org/drawingml/2006/main"/>
          <a:p xmlns:a="http://schemas.openxmlformats.org/drawingml/2006/main">
            <a:pPr>
              <a:defRPr/>
            </a:pPr>
            <a:r>
              <a:t>Resultado operativo</a:t>
            </a:r>
          </a:p>
        </rich>
      </tx>
    </title>
    <plotArea>
      <barChart>
        <barDir val="col"/>
        <grouping val="clustered"/>
        <varyColors val="0"/>
        <ser>
          <idx val="0"/>
          <order val="0"/>
          <tx>
            <strRef>
              <f>'Gráficos'!B9</f>
            </strRef>
          </tx>
          <spPr>
            <a:ln xmlns:a="http://schemas.openxmlformats.org/drawingml/2006/main">
              <a:prstDash val="solid"/>
            </a:ln>
          </spPr>
          <cat>
            <numRef>
              <f>'Gráficos'!$C$6:$F$6</f>
            </numRef>
          </cat>
          <val>
            <numRef>
              <f>'Gráficos'!$C$9:$F$9</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14.xml><?xml version="1.0" encoding="utf-8"?>
<chartSpace xmlns="http://schemas.openxmlformats.org/drawingml/2006/chart">
  <style val="2"/>
  <chart>
    <title>
      <tx>
        <rich>
          <a:bodyPr xmlns:a="http://schemas.openxmlformats.org/drawingml/2006/main"/>
          <a:p xmlns:a="http://schemas.openxmlformats.org/drawingml/2006/main">
            <a:pPr>
              <a:defRPr/>
            </a:pPr>
            <a:r>
              <a:t>Composición de los egresos</a:t>
            </a:r>
          </a:p>
        </rich>
      </tx>
    </title>
    <plotArea>
      <barChart>
        <barDir val="col"/>
        <grouping val="stacked"/>
        <varyColors val="0"/>
        <ser>
          <idx val="0"/>
          <order val="0"/>
          <tx>
            <strRef>
              <f>'Gráficos'!B10</f>
            </strRef>
          </tx>
          <spPr>
            <a:ln xmlns:a="http://schemas.openxmlformats.org/drawingml/2006/main">
              <a:prstDash val="solid"/>
            </a:ln>
          </spPr>
          <cat>
            <numRef>
              <f>'Gráficos'!$C$6:$F$6</f>
            </numRef>
          </cat>
          <val>
            <numRef>
              <f>'Gráficos'!$C$10:$F$10</f>
            </numRef>
          </val>
        </ser>
        <ser>
          <idx val="1"/>
          <order val="1"/>
          <tx>
            <strRef>
              <f>'Gráficos'!B11</f>
            </strRef>
          </tx>
          <spPr>
            <a:ln xmlns:a="http://schemas.openxmlformats.org/drawingml/2006/main">
              <a:prstDash val="solid"/>
            </a:ln>
          </spPr>
          <cat>
            <numRef>
              <f>'Gráficos'!$C$6:$F$6</f>
            </numRef>
          </cat>
          <val>
            <numRef>
              <f>'Gráficos'!$C$11:$F$11</f>
            </numRef>
          </val>
        </ser>
        <ser>
          <idx val="2"/>
          <order val="2"/>
          <tx>
            <strRef>
              <f>'Gráficos'!B12</f>
            </strRef>
          </tx>
          <spPr>
            <a:ln xmlns:a="http://schemas.openxmlformats.org/drawingml/2006/main">
              <a:prstDash val="solid"/>
            </a:ln>
          </spPr>
          <cat>
            <numRef>
              <f>'Gráficos'!$C$6:$F$6</f>
            </numRef>
          </cat>
          <val>
            <numRef>
              <f>'Gráficos'!$C$12:$F$12</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15.xml><?xml version="1.0" encoding="utf-8"?>
<chartSpace xmlns="http://schemas.openxmlformats.org/drawingml/2006/chart">
  <style val="2"/>
  <chart>
    <title>
      <tx>
        <rich>
          <a:bodyPr xmlns:a="http://schemas.openxmlformats.org/drawingml/2006/main"/>
          <a:p xmlns:a="http://schemas.openxmlformats.org/drawingml/2006/main">
            <a:pPr>
              <a:defRPr/>
            </a:pPr>
            <a:r>
              <a:t>Clientes y equipos administrados</a:t>
            </a:r>
          </a:p>
        </rich>
      </tx>
    </title>
    <plotArea>
      <lineChart>
        <grouping val="standard"/>
        <varyColors val="0"/>
        <ser>
          <idx val="0"/>
          <order val="0"/>
          <tx>
            <strRef>
              <f>'Gráficos'!B13</f>
            </strRef>
          </tx>
          <spPr>
            <a:ln xmlns:a="http://schemas.openxmlformats.org/drawingml/2006/main">
              <a:prstDash val="solid"/>
            </a:ln>
          </spPr>
          <marker>
            <symbol val="none"/>
            <spPr>
              <a:ln xmlns:a="http://schemas.openxmlformats.org/drawingml/2006/main">
                <a:prstDash val="solid"/>
              </a:ln>
            </spPr>
          </marker>
          <cat>
            <numRef>
              <f>'Gráficos'!$C$6:$F$6</f>
            </numRef>
          </cat>
          <val>
            <numRef>
              <f>'Gráficos'!$C$13:$F$13</f>
            </numRef>
          </val>
        </ser>
        <ser>
          <idx val="1"/>
          <order val="1"/>
          <tx>
            <strRef>
              <f>'Gráficos'!B14</f>
            </strRef>
          </tx>
          <spPr>
            <a:ln xmlns:a="http://schemas.openxmlformats.org/drawingml/2006/main">
              <a:prstDash val="solid"/>
            </a:ln>
          </spPr>
          <marker>
            <symbol val="none"/>
            <spPr>
              <a:ln xmlns:a="http://schemas.openxmlformats.org/drawingml/2006/main">
                <a:prstDash val="solid"/>
              </a:ln>
            </spPr>
          </marker>
          <cat>
            <numRef>
              <f>'Gráficos'!$C$6:$F$6</f>
            </numRef>
          </cat>
          <val>
            <numRef>
              <f>'Gráficos'!$C$14:$F$14</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16.xml><?xml version="1.0" encoding="utf-8"?>
<chartSpace xmlns="http://schemas.openxmlformats.org/drawingml/2006/chart">
  <style val="2"/>
  <chart>
    <title>
      <tx>
        <rich>
          <a:bodyPr xmlns:a="http://schemas.openxmlformats.org/drawingml/2006/main"/>
          <a:p xmlns:a="http://schemas.openxmlformats.org/drawingml/2006/main">
            <a:pPr>
              <a:defRPr/>
            </a:pPr>
            <a:r>
              <a:t>Plantilla contra cartera</a:t>
            </a:r>
          </a:p>
        </rich>
      </tx>
    </title>
    <plotArea>
      <barChart>
        <barDir val="col"/>
        <grouping val="clustered"/>
        <varyColors val="0"/>
        <ser>
          <idx val="0"/>
          <order val="0"/>
          <tx>
            <strRef>
              <f>'Gráficos'!B15</f>
            </strRef>
          </tx>
          <spPr>
            <a:ln xmlns:a="http://schemas.openxmlformats.org/drawingml/2006/main">
              <a:prstDash val="solid"/>
            </a:ln>
          </spPr>
          <cat>
            <numRef>
              <f>'Gráficos'!$C$6:$F$6</f>
            </numRef>
          </cat>
          <val>
            <numRef>
              <f>'Gráficos'!$C$15:$F$15</f>
            </numRef>
          </val>
        </ser>
        <ser>
          <idx val="1"/>
          <order val="1"/>
          <tx>
            <strRef>
              <f>'Gráficos'!B13</f>
            </strRef>
          </tx>
          <spPr>
            <a:ln xmlns:a="http://schemas.openxmlformats.org/drawingml/2006/main">
              <a:prstDash val="solid"/>
            </a:ln>
          </spPr>
          <cat>
            <numRef>
              <f>'Gráficos'!$C$6:$F$6</f>
            </numRef>
          </cat>
          <val>
            <numRef>
              <f>'Gráficos'!$C$13:$F$13</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17.xml><?xml version="1.0" encoding="utf-8"?>
<chartSpace xmlns="http://schemas.openxmlformats.org/drawingml/2006/chart">
  <style val="2"/>
  <chart>
    <title>
      <tx>
        <rich>
          <a:bodyPr xmlns:a="http://schemas.openxmlformats.org/drawingml/2006/main"/>
          <a:p xmlns:a="http://schemas.openxmlformats.org/drawingml/2006/main">
            <a:pPr>
              <a:defRPr/>
            </a:pPr>
            <a:r>
              <a:t>Flujo de caja libre y acumulado</a:t>
            </a:r>
          </a:p>
        </rich>
      </tx>
    </title>
    <plotArea>
      <lineChart>
        <grouping val="standard"/>
        <varyColors val="0"/>
        <ser>
          <idx val="0"/>
          <order val="0"/>
          <tx>
            <strRef>
              <f>'Gráficos de la evaluación'!B7</f>
            </strRef>
          </tx>
          <spPr>
            <a:ln xmlns:a="http://schemas.openxmlformats.org/drawingml/2006/main">
              <a:prstDash val="solid"/>
            </a:ln>
          </spPr>
          <marker>
            <symbol val="none"/>
            <spPr>
              <a:ln xmlns:a="http://schemas.openxmlformats.org/drawingml/2006/main">
                <a:prstDash val="solid"/>
              </a:ln>
            </spPr>
          </marker>
          <cat>
            <numRef>
              <f>'Gráficos de la evaluación'!$C$6:$F$6</f>
            </numRef>
          </cat>
          <val>
            <numRef>
              <f>'Gráficos de la evaluación'!$C$7:$F$7</f>
            </numRef>
          </val>
        </ser>
        <ser>
          <idx val="1"/>
          <order val="1"/>
          <tx>
            <strRef>
              <f>'Gráficos de la evaluación'!B8</f>
            </strRef>
          </tx>
          <spPr>
            <a:ln xmlns:a="http://schemas.openxmlformats.org/drawingml/2006/main">
              <a:prstDash val="solid"/>
            </a:ln>
          </spPr>
          <marker>
            <symbol val="none"/>
            <spPr>
              <a:ln xmlns:a="http://schemas.openxmlformats.org/drawingml/2006/main">
                <a:prstDash val="solid"/>
              </a:ln>
            </spPr>
          </marker>
          <cat>
            <numRef>
              <f>'Gráficos de la evaluación'!$C$6:$F$6</f>
            </numRef>
          </cat>
          <val>
            <numRef>
              <f>'Gráficos de la evaluación'!$C$8:$F$8</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18.xml><?xml version="1.0" encoding="utf-8"?>
<chartSpace xmlns="http://schemas.openxmlformats.org/drawingml/2006/chart">
  <style val="2"/>
  <chart>
    <title>
      <tx>
        <rich>
          <a:bodyPr xmlns:a="http://schemas.openxmlformats.org/drawingml/2006/main"/>
          <a:p xmlns:a="http://schemas.openxmlformats.org/drawingml/2006/main">
            <a:pPr>
              <a:defRPr/>
            </a:pPr>
            <a:r>
              <a:t>Impuestos que son costo</a:t>
            </a:r>
          </a:p>
        </rich>
      </tx>
    </title>
    <plotArea>
      <barChart>
        <barDir val="col"/>
        <grouping val="clustered"/>
        <varyColors val="0"/>
        <ser>
          <idx val="0"/>
          <order val="0"/>
          <tx>
            <strRef>
              <f>'Gráficos de la evaluación'!B9</f>
            </strRef>
          </tx>
          <spPr>
            <a:ln xmlns:a="http://schemas.openxmlformats.org/drawingml/2006/main">
              <a:prstDash val="solid"/>
            </a:ln>
          </spPr>
          <cat>
            <numRef>
              <f>'Gráficos de la evaluación'!$C$6:$F$6</f>
            </numRef>
          </cat>
          <val>
            <numRef>
              <f>'Gráficos de la evaluación'!$C$9:$F$9</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19.xml><?xml version="1.0" encoding="utf-8"?>
<chartSpace xmlns="http://schemas.openxmlformats.org/drawingml/2006/chart">
  <style val="2"/>
  <chart>
    <title>
      <tx>
        <rich>
          <a:bodyPr xmlns:a="http://schemas.openxmlformats.org/drawingml/2006/main"/>
          <a:p xmlns:a="http://schemas.openxmlformats.org/drawingml/2006/main">
            <a:pPr>
              <a:defRPr/>
            </a:pPr>
            <a:r>
              <a:t>Presión tributaria sobre las ventas</a:t>
            </a:r>
          </a:p>
        </rich>
      </tx>
    </title>
    <plotArea>
      <lineChart>
        <grouping val="standard"/>
        <varyColors val="0"/>
        <ser>
          <idx val="0"/>
          <order val="0"/>
          <tx>
            <strRef>
              <f>'Gráficos de la evaluación'!B10</f>
            </strRef>
          </tx>
          <spPr>
            <a:ln xmlns:a="http://schemas.openxmlformats.org/drawingml/2006/main">
              <a:prstDash val="solid"/>
            </a:ln>
          </spPr>
          <marker>
            <symbol val="none"/>
            <spPr>
              <a:ln xmlns:a="http://schemas.openxmlformats.org/drawingml/2006/main">
                <a:prstDash val="solid"/>
              </a:ln>
            </spPr>
          </marker>
          <cat>
            <numRef>
              <f>'Gráficos de la evaluación'!$C$6:$F$6</f>
            </numRef>
          </cat>
          <val>
            <numRef>
              <f>'Gráficos de la evaluación'!$C$10:$F$10</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20.xml><?xml version="1.0" encoding="utf-8"?>
<chartSpace xmlns="http://schemas.openxmlformats.org/drawingml/2006/chart">
  <style val="2"/>
  <chart>
    <title>
      <tx>
        <rich>
          <a:bodyPr xmlns:a="http://schemas.openxmlformats.org/drawingml/2006/main"/>
          <a:p xmlns:a="http://schemas.openxmlformats.org/drawingml/2006/main">
            <a:pPr>
              <a:defRPr/>
            </a:pPr>
            <a:r>
              <a:t>Flujo de caja libre y acumulado</a:t>
            </a:r>
          </a:p>
        </rich>
      </tx>
    </title>
    <plotArea>
      <lineChart>
        <grouping val="standard"/>
        <varyColors val="0"/>
        <ser>
          <idx val="0"/>
          <order val="0"/>
          <tx>
            <strRef>
              <f>'Flujo de Fondos'!$B$21</f>
            </strRef>
          </tx>
          <spPr>
            <a:ln xmlns:a="http://schemas.openxmlformats.org/drawingml/2006/main">
              <a:prstDash val="solid"/>
            </a:ln>
          </spPr>
          <marker>
            <symbol val="none"/>
            <spPr>
              <a:ln xmlns:a="http://schemas.openxmlformats.org/drawingml/2006/main">
                <a:prstDash val="solid"/>
              </a:ln>
            </spPr>
          </marker>
          <cat>
            <numRef>
              <f>'Flujo de Fondos'!$D$8:$H$8</f>
            </numRef>
          </cat>
          <val>
            <numRef>
              <f>'Flujo de Fondos'!$D$21:$H$21</f>
            </numRef>
          </val>
        </ser>
        <ser>
          <idx val="1"/>
          <order val="1"/>
          <tx>
            <strRef>
              <f>'Flujo de Fondos'!$B$22</f>
            </strRef>
          </tx>
          <spPr>
            <a:ln xmlns:a="http://schemas.openxmlformats.org/drawingml/2006/main">
              <a:prstDash val="solid"/>
            </a:ln>
          </spPr>
          <marker>
            <symbol val="none"/>
            <spPr>
              <a:ln xmlns:a="http://schemas.openxmlformats.org/drawingml/2006/main">
                <a:prstDash val="solid"/>
              </a:ln>
            </spPr>
          </marker>
          <cat>
            <numRef>
              <f>'Flujo de Fondos'!$D$8:$H$8</f>
            </numRef>
          </cat>
          <val>
            <numRef>
              <f>'Flujo de Fondos'!$D$22:$H$22</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overlay val="0"/>
    </legend>
    <plotVisOnly val="1"/>
    <dispBlanksAs val="gap"/>
  </chart>
</chartSpace>
</file>

<file path=xl/charts/chart21.xml><?xml version="1.0" encoding="utf-8"?>
<chartSpace xmlns="http://schemas.openxmlformats.org/drawingml/2006/chart">
  <style val="2"/>
  <chart>
    <title>
      <tx>
        <rich>
          <a:bodyPr xmlns:a="http://schemas.openxmlformats.org/drawingml/2006/main"/>
          <a:p xmlns:a="http://schemas.openxmlformats.org/drawingml/2006/main">
            <a:pPr>
              <a:defRPr/>
            </a:pPr>
            <a:r>
              <a:t>Flujo acumulado — escenario base</a:t>
            </a:r>
          </a:p>
        </rich>
      </tx>
    </title>
    <plotArea>
      <lineChart>
        <grouping val="standard"/>
        <varyColors val="0"/>
        <ser>
          <idx val="0"/>
          <order val="0"/>
          <tx>
            <strRef>
              <f>'Escenario base'!$B$22</f>
            </strRef>
          </tx>
          <spPr>
            <a:ln xmlns:a="http://schemas.openxmlformats.org/drawingml/2006/main">
              <a:prstDash val="solid"/>
            </a:ln>
          </spPr>
          <marker>
            <symbol val="none"/>
            <spPr>
              <a:ln xmlns:a="http://schemas.openxmlformats.org/drawingml/2006/main">
                <a:prstDash val="solid"/>
              </a:ln>
            </spPr>
          </marker>
          <cat>
            <numRef>
              <f>'Escenario base'!$D$10:$H$10</f>
            </numRef>
          </cat>
          <val>
            <numRef>
              <f>'Escenario base'!$D$22:$H$22</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22.xml><?xml version="1.0" encoding="utf-8"?>
<chartSpace xmlns="http://schemas.openxmlformats.org/drawingml/2006/chart">
  <style val="2"/>
  <chart>
    <title>
      <tx>
        <rich>
          <a:bodyPr xmlns:a="http://schemas.openxmlformats.org/drawingml/2006/main"/>
          <a:p xmlns:a="http://schemas.openxmlformats.org/drawingml/2006/main">
            <a:pPr>
              <a:defRPr/>
            </a:pPr>
            <a:r>
              <a:t>Flujo acumulado — escenario optimista</a:t>
            </a:r>
          </a:p>
        </rich>
      </tx>
    </title>
    <plotArea>
      <lineChart>
        <grouping val="standard"/>
        <varyColors val="0"/>
        <ser>
          <idx val="0"/>
          <order val="0"/>
          <tx>
            <strRef>
              <f>'Escenario optimista'!$B$22</f>
            </strRef>
          </tx>
          <spPr>
            <a:ln xmlns:a="http://schemas.openxmlformats.org/drawingml/2006/main">
              <a:prstDash val="solid"/>
            </a:ln>
          </spPr>
          <marker>
            <symbol val="none"/>
            <spPr>
              <a:ln xmlns:a="http://schemas.openxmlformats.org/drawingml/2006/main">
                <a:prstDash val="solid"/>
              </a:ln>
            </spPr>
          </marker>
          <cat>
            <numRef>
              <f>'Escenario optimista'!$D$10:$H$10</f>
            </numRef>
          </cat>
          <val>
            <numRef>
              <f>'Escenario optimista'!$D$22:$H$22</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charts/chart23.xml><?xml version="1.0" encoding="utf-8"?>
<chartSpace xmlns="http://schemas.openxmlformats.org/drawingml/2006/chart">
  <style val="2"/>
  <chart>
    <title>
      <tx>
        <rich>
          <a:bodyPr xmlns:a="http://schemas.openxmlformats.org/drawingml/2006/main"/>
          <a:p xmlns:a="http://schemas.openxmlformats.org/drawingml/2006/main">
            <a:pPr>
              <a:defRPr/>
            </a:pPr>
            <a:r>
              <a:t>Flujo acumulado — escenario pesimista</a:t>
            </a:r>
          </a:p>
        </rich>
      </tx>
    </title>
    <plotArea>
      <lineChart>
        <grouping val="standard"/>
        <varyColors val="0"/>
        <ser>
          <idx val="0"/>
          <order val="0"/>
          <tx>
            <strRef>
              <f>'Escenario pesimista'!$B$22</f>
            </strRef>
          </tx>
          <spPr>
            <a:ln xmlns:a="http://schemas.openxmlformats.org/drawingml/2006/main">
              <a:prstDash val="solid"/>
            </a:ln>
          </spPr>
          <marker>
            <symbol val="none"/>
            <spPr>
              <a:ln xmlns:a="http://schemas.openxmlformats.org/drawingml/2006/main">
                <a:prstDash val="solid"/>
              </a:ln>
            </spPr>
          </marker>
          <cat>
            <numRef>
              <f>'Escenario pesimista'!$D$10:$H$10</f>
            </numRef>
          </cat>
          <val>
            <numRef>
              <f>'Escenario pesimista'!$D$22:$H$22</f>
            </numRef>
          </val>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7.xml.rels><Relationships xmlns="http://schemas.openxmlformats.org/package/2006/relationships"><Relationship Type="http://schemas.openxmlformats.org/officeDocument/2006/relationships/chart" Target="/xl/charts/chart8.xml" Id="rId1"/></Relationships>
</file>

<file path=xl/drawings/_rels/drawing8.xml.rels><Relationships xmlns="http://schemas.openxmlformats.org/package/2006/relationships"><Relationship Type="http://schemas.openxmlformats.org/officeDocument/2006/relationships/chart" Target="/xl/charts/chart9.xml" Id="rId1"/></Relationships>
</file>

<file path=xl/drawings/_rels/drawing9.xml.rels><Relationships xmlns="http://schemas.openxmlformats.org/package/2006/relationships"><Relationship Type="http://schemas.openxmlformats.org/officeDocument/2006/relationships/chart" Target="/xl/charts/chart10.xml" Id="rId1"/></Relationships>
</file>

<file path=xl/drawings/_rels/drawing10.xml.rels><Relationships xmlns="http://schemas.openxmlformats.org/package/2006/relationships"><Relationship Type="http://schemas.openxmlformats.org/officeDocument/2006/relationships/chart" Target="/xl/charts/chart11.xml" Id="rId1"/></Relationships>
</file>

<file path=xl/drawings/_rels/drawing11.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 Type="http://schemas.openxmlformats.org/officeDocument/2006/relationships/chart" Target="/xl/charts/chart14.xml" Id="rId3"/><Relationship Type="http://schemas.openxmlformats.org/officeDocument/2006/relationships/chart" Target="/xl/charts/chart15.xml" Id="rId4"/><Relationship Type="http://schemas.openxmlformats.org/officeDocument/2006/relationships/chart" Target="/xl/charts/chart16.xml" Id="rId5"/></Relationships>
</file>

<file path=xl/drawings/_rels/drawing12.xml.rels><Relationships xmlns="http://schemas.openxmlformats.org/package/2006/relationships"><Relationship Type="http://schemas.openxmlformats.org/officeDocument/2006/relationships/chart" Target="/xl/charts/chart17.xml" Id="rId1"/><Relationship Type="http://schemas.openxmlformats.org/officeDocument/2006/relationships/chart" Target="/xl/charts/chart18.xml" Id="rId2"/><Relationship Type="http://schemas.openxmlformats.org/officeDocument/2006/relationships/chart" Target="/xl/charts/chart19.xml" Id="rId3"/></Relationships>
</file>

<file path=xl/drawings/_rels/drawing13.xml.rels><Relationships xmlns="http://schemas.openxmlformats.org/package/2006/relationships"><Relationship Type="http://schemas.openxmlformats.org/officeDocument/2006/relationships/chart" Target="/xl/charts/chart20.xml" Id="rId1"/></Relationships>
</file>

<file path=xl/drawings/_rels/drawing14.xml.rels><Relationships xmlns="http://schemas.openxmlformats.org/package/2006/relationships"><Relationship Type="http://schemas.openxmlformats.org/officeDocument/2006/relationships/chart" Target="/xl/charts/chart21.xml" Id="rId1"/></Relationships>
</file>

<file path=xl/drawings/_rels/drawing15.xml.rels><Relationships xmlns="http://schemas.openxmlformats.org/package/2006/relationships"><Relationship Type="http://schemas.openxmlformats.org/officeDocument/2006/relationships/chart" Target="/xl/charts/chart22.xml" Id="rId1"/></Relationships>
</file>

<file path=xl/drawings/_rels/drawing16.xml.rels><Relationships xmlns="http://schemas.openxmlformats.org/package/2006/relationships"><Relationship Type="http://schemas.openxmlformats.org/officeDocument/2006/relationships/chart" Target="/xl/charts/chart23.xml" Id="rId1"/></Relationships>
</file>

<file path=xl/drawings/drawing1.xml><?xml version="1.0" encoding="utf-8"?>
<wsDr xmlns="http://schemas.openxmlformats.org/drawingml/2006/spreadsheetDrawing">
  <oneCellAnchor>
    <from>
      <col>16</col>
      <colOff>0</colOff>
      <row>10</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16</col>
      <colOff>0</colOff>
      <row>10</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16</col>
      <colOff>0</colOff>
      <row>10</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16</col>
      <colOff>0</colOff>
      <row>8</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16</col>
      <colOff>0</colOff>
      <row>10</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16</col>
      <colOff>0</colOff>
      <row>9</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16</col>
      <colOff>0</colOff>
      <row>25</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1</col>
      <colOff>0</colOff>
      <row>19</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2</col>
      <colOff>0</colOff>
      <row>16</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1</col>
      <colOff>0</colOff>
      <row>66</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1</col>
      <colOff>0</colOff>
      <row>30</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7</col>
      <colOff>0</colOff>
      <row>4</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22</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40</row>
      <rowOff>0</rowOff>
    </from>
    <ext cx="61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18</col>
      <colOff>0</colOff>
      <row>4</row>
      <rowOff>0</rowOff>
    </from>
    <ext cx="612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18</col>
      <colOff>0</colOff>
      <row>22</row>
      <rowOff>0</rowOff>
    </from>
    <ext cx="6120000" cy="288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drawings/drawing12.xml><?xml version="1.0" encoding="utf-8"?>
<wsDr xmlns="http://schemas.openxmlformats.org/drawingml/2006/spreadsheetDrawing">
  <oneCellAnchor>
    <from>
      <col>7</col>
      <colOff>0</colOff>
      <row>4</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22</row>
      <rowOff>0</rowOff>
    </from>
    <ext cx="61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40</row>
      <rowOff>0</rowOff>
    </from>
    <ext cx="61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13.xml><?xml version="1.0" encoding="utf-8"?>
<wsDr xmlns="http://schemas.openxmlformats.org/drawingml/2006/spreadsheetDrawing">
  <oneCellAnchor>
    <from>
      <col>1</col>
      <colOff>0</colOff>
      <row>67</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1</col>
      <colOff>0</colOff>
      <row>33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1</col>
      <colOff>0</colOff>
      <row>33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1</col>
      <colOff>0</colOff>
      <row>33</row>
      <rowOff>0</rowOff>
    </from>
    <ext cx="61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ip&#243;tesis'!A1" TargetMode="External" Id="rId1"/><Relationship Type="http://schemas.openxmlformats.org/officeDocument/2006/relationships/hyperlink" Target="#'Planes'!A1" TargetMode="External" Id="rId2"/><Relationship Type="http://schemas.openxmlformats.org/officeDocument/2006/relationships/hyperlink" Target="#'Proyecci&#243;n de ventas'!A1" TargetMode="External" Id="rId3"/><Relationship Type="http://schemas.openxmlformats.org/officeDocument/2006/relationships/hyperlink" Target="#'Modelo de ingresos'!A1" TargetMode="External" Id="rId4"/><Relationship Type="http://schemas.openxmlformats.org/officeDocument/2006/relationships/hyperlink" Target="#'Modelo de Egresos'!A1" TargetMode="External" Id="rId5"/><Relationship Type="http://schemas.openxmlformats.org/officeDocument/2006/relationships/hyperlink" Target="#'Costos Fijos'!A1" TargetMode="External" Id="rId6"/><Relationship Type="http://schemas.openxmlformats.org/officeDocument/2006/relationships/hyperlink" Target="#'Costos Variables'!A1" TargetMode="External" Id="rId7"/><Relationship Type="http://schemas.openxmlformats.org/officeDocument/2006/relationships/hyperlink" Target="#'RRHH'!A1" TargetMode="External" Id="rId8"/><Relationship Type="http://schemas.openxmlformats.org/officeDocument/2006/relationships/hyperlink" Target="#'Modelo de Inversi&#243;n'!A1" TargetMode="External" Id="rId9"/><Relationship Type="http://schemas.openxmlformats.org/officeDocument/2006/relationships/hyperlink" Target="#'Amortizaciones'!A1" TargetMode="External" Id="rId10"/><Relationship Type="http://schemas.openxmlformats.org/officeDocument/2006/relationships/hyperlink" Target="#'Impuestos'!A1" TargetMode="External" Id="rId11"/><Relationship Type="http://schemas.openxmlformats.org/officeDocument/2006/relationships/hyperlink" Target="#'M&#233;tricas SaaS'!A1" TargetMode="External" Id="rId12"/><Relationship Type="http://schemas.openxmlformats.org/officeDocument/2006/relationships/hyperlink" Target="#'Gr&#225;ficos'!A1" TargetMode="External" Id="rId13"/><Relationship Type="http://schemas.openxmlformats.org/officeDocument/2006/relationships/hyperlink" Target="#'Gr&#225;ficos de la evaluaci&#243;n'!A1" TargetMode="External" Id="rId14"/><Relationship Type="http://schemas.openxmlformats.org/officeDocument/2006/relationships/hyperlink" Target="#'Flujo de Fondos'!A1" TargetMode="External" Id="rId15"/><Relationship Type="http://schemas.openxmlformats.org/officeDocument/2006/relationships/hyperlink" Target="#'Matriz de riesgos'!A1" TargetMode="External" Id="rId16"/><Relationship Type="http://schemas.openxmlformats.org/officeDocument/2006/relationships/hyperlink" Target="#'Escenario base'!A1" TargetMode="External" Id="rId17"/><Relationship Type="http://schemas.openxmlformats.org/officeDocument/2006/relationships/hyperlink" Target="#'Escenario optimista'!A1" TargetMode="External" Id="rId18"/><Relationship Type="http://schemas.openxmlformats.org/officeDocument/2006/relationships/hyperlink" Target="#'Escenario pesimista'!A1" TargetMode="External" Id="rId19"/><Relationship Type="http://schemas.openxmlformats.org/officeDocument/2006/relationships/hyperlink" Target="#'Planes de contingencia'!A1" TargetMode="External" Id="rId20"/></Relationships>
</file>

<file path=xl/worksheets/_rels/sheet2.xml.rels><Relationships xmlns="http://schemas.openxmlformats.org/package/2006/relationships"><Relationship Type="http://schemas.openxmlformats.org/officeDocument/2006/relationships/hyperlink" Target="#'Inicio'!A1" TargetMode="External" Id="rId1"/></Relationships>
</file>

<file path=xl/worksheets/_rels/sheet3.xml.rels><Relationships xmlns="http://schemas.openxmlformats.org/package/2006/relationships"><Relationship Type="http://schemas.openxmlformats.org/officeDocument/2006/relationships/hyperlink" Target="#'Inicio'!A1" TargetMode="External" Id="rId1"/></Relationships>
</file>

<file path=xl/worksheets/_rels/sheet4.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xml" Id="rId2"/></Relationships>
</file>

<file path=xl/worksheets/_rels/sheet5.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2.xml" Id="rId2"/></Relationships>
</file>

<file path=xl/worksheets/_rels/sheet6.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3.xml" Id="rId2"/></Relationships>
</file>

<file path=xl/worksheets/_rels/sheet7.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4.xml" Id="rId2"/></Relationships>
</file>

<file path=xl/worksheets/_rels/sheet8.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5.xml" Id="rId2"/></Relationships>
</file>

<file path=xl/worksheets/_rels/sheet9.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6.xml" Id="rId2"/></Relationships>
</file>

<file path=xl/worksheets/_rels/sheet10.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7.xml" Id="rId2"/></Relationships>
</file>

<file path=xl/worksheets/_rels/sheet11.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8.xml" Id="rId2"/></Relationships>
</file>

<file path=xl/worksheets/_rels/sheet12.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9.xml" Id="rId2"/></Relationships>
</file>

<file path=xl/worksheets/_rels/sheet13.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0.xml" Id="rId2"/></Relationships>
</file>

<file path=xl/worksheets/_rels/sheet14.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1.xml" Id="rId2"/></Relationships>
</file>

<file path=xl/worksheets/_rels/sheet15.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2.xml" Id="rId2"/></Relationships>
</file>

<file path=xl/worksheets/_rels/sheet16.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3.xml" Id="rId2"/></Relationships>
</file>

<file path=xl/worksheets/_rels/sheet17.xml.rels><Relationships xmlns="http://schemas.openxmlformats.org/package/2006/relationships"><Relationship Type="http://schemas.openxmlformats.org/officeDocument/2006/relationships/hyperlink" Target="#'Inicio'!A1" TargetMode="External" Id="rId1"/></Relationships>
</file>

<file path=xl/worksheets/_rels/sheet18.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4.xml" Id="rId2"/></Relationships>
</file>

<file path=xl/worksheets/_rels/sheet19.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5.xml" Id="rId2"/></Relationships>
</file>

<file path=xl/worksheets/_rels/sheet20.xml.rels><Relationships xmlns="http://schemas.openxmlformats.org/package/2006/relationships"><Relationship Type="http://schemas.openxmlformats.org/officeDocument/2006/relationships/hyperlink" Target="#'Inicio'!A1" TargetMode="External" Id="rId1"/><Relationship Type="http://schemas.openxmlformats.org/officeDocument/2006/relationships/drawing" Target="/xl/drawings/drawing16.xml" Id="rId2"/></Relationships>
</file>

<file path=xl/worksheets/_rels/sheet21.xml.rels><Relationships xmlns="http://schemas.openxmlformats.org/package/2006/relationships"><Relationship Type="http://schemas.openxmlformats.org/officeDocument/2006/relationships/hyperlink" Target="#'Inicio'!A1" TargetMode="External" Id="rId1"/></Relationships>
</file>

<file path=xl/worksheets/sheet1.xml><?xml version="1.0" encoding="utf-8"?>
<worksheet xmlns="http://schemas.openxmlformats.org/spreadsheetml/2006/main">
  <sheetPr>
    <tabColor rgb="001F4E5F"/>
    <outlinePr summaryBelow="1" summaryRight="1"/>
    <pageSetUpPr/>
  </sheetPr>
  <dimension ref="A1:C30"/>
  <sheetViews>
    <sheetView showGridLines="0" workbookViewId="0">
      <selection activeCell="A1" sqref="A1"/>
    </sheetView>
  </sheetViews>
  <sheetFormatPr baseColWidth="8" defaultRowHeight="15"/>
  <cols>
    <col width="3" customWidth="1" min="1" max="1"/>
    <col width="26" customWidth="1" min="2" max="2"/>
    <col width="70" customWidth="1" min="3" max="3"/>
  </cols>
  <sheetData>
    <row r="1"/>
    <row r="2">
      <c r="B2" s="1" t="inlineStr">
        <is>
          <t>PRESUPUESTO FINANCIERO — PredictIT</t>
        </is>
      </c>
    </row>
    <row r="3"/>
    <row r="4">
      <c r="B4" s="2" t="inlineStr">
        <is>
          <t>Sistema de mantenimiento predictivo de equipos informáticos</t>
        </is>
      </c>
    </row>
    <row r="5">
      <c r="B5" s="3" t="inlineStr">
        <is>
          <t>Trabajo Final de Ingeniería · UAI · Pettini, Patricio Ezequiel — Legajo B00072710-T1</t>
        </is>
      </c>
    </row>
    <row r="6">
      <c r="B6" s="3" t="inlineStr">
        <is>
          <t>Horizonte: 2027 a 2030, mensual · Generado el 17/09/2026</t>
        </is>
      </c>
    </row>
    <row r="7"/>
    <row r="8">
      <c r="B8" s="4" t="inlineStr">
        <is>
          <t>Las celdas amarillas son supuestos que se pueden cambiar. Todo lo demás se calcula.</t>
        </is>
      </c>
    </row>
    <row r="9"/>
    <row r="10">
      <c r="B10" s="5" t="inlineStr">
        <is>
          <t>Contenido</t>
        </is>
      </c>
    </row>
    <row r="11">
      <c r="B11" s="6" t="inlineStr">
        <is>
          <t>Hipótesis</t>
        </is>
      </c>
      <c r="C11" s="3" t="inlineStr">
        <is>
          <t>Supuestos macro, mercado meta, embudo comercial y retención</t>
        </is>
      </c>
    </row>
    <row r="12">
      <c r="B12" s="6" t="inlineStr">
        <is>
          <t>Planes</t>
        </is>
      </c>
      <c r="C12" s="3" t="inlineStr">
        <is>
          <t>Líneas de servicio: precio, equipos incluidos y costo variable unitario</t>
        </is>
      </c>
    </row>
    <row r="13">
      <c r="B13" s="6" t="inlineStr">
        <is>
          <t>Proyección de ventas</t>
        </is>
      </c>
      <c r="C13" s="3" t="inlineStr">
        <is>
          <t>Altas, bajas y base activa de clientes por línea, mes a mes</t>
        </is>
      </c>
    </row>
    <row r="14">
      <c r="B14" s="6" t="inlineStr">
        <is>
          <t>Modelo de ingresos</t>
        </is>
      </c>
      <c r="C14" s="3" t="inlineStr">
        <is>
          <t>Facturación por línea de servicio</t>
        </is>
      </c>
    </row>
    <row r="15">
      <c r="B15" s="6" t="inlineStr">
        <is>
          <t>Modelo de Egresos</t>
        </is>
      </c>
      <c r="C15" s="3" t="inlineStr">
        <is>
          <t>Consolidado de las tres estructuras de costo</t>
        </is>
      </c>
    </row>
    <row r="16">
      <c r="B16" s="6" t="inlineStr">
        <is>
          <t>Costos Fijos</t>
        </is>
      </c>
      <c r="C16" s="3" t="inlineStr">
        <is>
          <t>Costos que no dependen del volumen</t>
        </is>
      </c>
    </row>
    <row r="17">
      <c r="B17" s="6" t="inlineStr">
        <is>
          <t>Costos Variables</t>
        </is>
      </c>
      <c r="C17" s="3" t="inlineStr">
        <is>
          <t>Costos que se mueven con cada cliente</t>
        </is>
      </c>
    </row>
    <row r="18">
      <c r="B18" s="6" t="inlineStr">
        <is>
          <t>RRHH</t>
        </is>
      </c>
      <c r="C18" s="3" t="inlineStr">
        <is>
          <t>Sueldos, cargas sociales y evolución de la plantilla</t>
        </is>
      </c>
    </row>
    <row r="19">
      <c r="B19" s="6" t="inlineStr">
        <is>
          <t>Modelo de Inversión</t>
        </is>
      </c>
      <c r="C19" s="3" t="inlineStr">
        <is>
          <t>Inversión inicial y dentro del proyecto</t>
        </is>
      </c>
    </row>
    <row r="20">
      <c r="B20" s="6" t="inlineStr">
        <is>
          <t>Amortizaciones</t>
        </is>
      </c>
      <c r="C20" s="3" t="inlineStr">
        <is>
          <t>Amortización de la inversión</t>
        </is>
      </c>
    </row>
    <row r="21">
      <c r="B21" s="6" t="inlineStr">
        <is>
          <t>Impuestos</t>
        </is>
      </c>
      <c r="C21" s="3" t="inlineStr">
        <is>
          <t>Nacionales, locales y el régimen de Economía del Conocimiento</t>
        </is>
      </c>
    </row>
    <row r="22">
      <c r="B22" s="6" t="inlineStr">
        <is>
          <t>Métricas SaaS</t>
        </is>
      </c>
      <c r="C22" s="3" t="inlineStr">
        <is>
          <t>CAC, LTV, MRR, ARR, churn y margen bruto</t>
        </is>
      </c>
    </row>
    <row r="23">
      <c r="B23" s="6" t="inlineStr">
        <is>
          <t>Gráficos</t>
        </is>
      </c>
      <c r="C23" s="3" t="inlineStr">
        <is>
          <t>La operación en cuatro imágenes</t>
        </is>
      </c>
    </row>
    <row r="24">
      <c r="B24" s="6" t="inlineStr">
        <is>
          <t>Gráficos de la evaluación</t>
        </is>
      </c>
      <c r="C24" s="3" t="inlineStr">
        <is>
          <t>Flujo, impuestos y carga tributaria</t>
        </is>
      </c>
    </row>
    <row r="25">
      <c r="B25" s="6" t="inlineStr">
        <is>
          <t>Flujo de Fondos</t>
        </is>
      </c>
      <c r="C25" s="3" t="inlineStr">
        <is>
          <t>Flujo, VAN, TIR, punto de equilibrio y repago</t>
        </is>
      </c>
    </row>
    <row r="26">
      <c r="B26" s="6" t="inlineStr">
        <is>
          <t>Matriz de riesgos</t>
        </is>
      </c>
      <c r="C26" s="3" t="inlineStr">
        <is>
          <t>Riesgos, probabilidad, impacto y mitigación</t>
        </is>
      </c>
    </row>
    <row r="27">
      <c r="B27" s="6" t="inlineStr">
        <is>
          <t>Escenario base</t>
        </is>
      </c>
      <c r="C27" s="3" t="inlineStr">
        <is>
          <t>El escenario que se defiende</t>
        </is>
      </c>
    </row>
    <row r="28">
      <c r="B28" s="6" t="inlineStr">
        <is>
          <t>Escenario optimista</t>
        </is>
      </c>
      <c r="C28" s="3" t="inlineStr">
        <is>
          <t>Supuestos favorables y su impacto</t>
        </is>
      </c>
    </row>
    <row r="29">
      <c r="B29" s="6" t="inlineStr">
        <is>
          <t>Escenario pesimista</t>
        </is>
      </c>
      <c r="C29" s="3" t="inlineStr">
        <is>
          <t>Supuestos adversos y su impacto</t>
        </is>
      </c>
    </row>
    <row r="30">
      <c r="B30" s="6" t="inlineStr">
        <is>
          <t>Planes de contingencia</t>
        </is>
      </c>
      <c r="C30" s="3" t="inlineStr">
        <is>
          <t>Qué se hace si se materializa cada riesgo</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 xmlns:r="http://schemas.openxmlformats.org/officeDocument/2006/relationships" ref="B25" r:id="rId15"/>
    <hyperlink xmlns:r="http://schemas.openxmlformats.org/officeDocument/2006/relationships" ref="B26" r:id="rId16"/>
    <hyperlink xmlns:r="http://schemas.openxmlformats.org/officeDocument/2006/relationships" ref="B27" r:id="rId17"/>
    <hyperlink xmlns:r="http://schemas.openxmlformats.org/officeDocument/2006/relationships" ref="B28" r:id="rId18"/>
    <hyperlink xmlns:r="http://schemas.openxmlformats.org/officeDocument/2006/relationships" ref="B29" r:id="rId19"/>
    <hyperlink xmlns:r="http://schemas.openxmlformats.org/officeDocument/2006/relationships" ref="B30" r:id="rId20"/>
  </hyperlinks>
  <pageMargins left="0.75" right="0.75" top="1" bottom="1" header="0.5" footer="0.5"/>
</worksheet>
</file>

<file path=xl/worksheets/sheet2.xml><?xml version="1.0" encoding="utf-8"?>
<worksheet xmlns="http://schemas.openxmlformats.org/spreadsheetml/2006/main">
  <sheetPr>
    <tabColor rgb="008EA9DB"/>
    <outlinePr summaryBelow="1" summaryRight="1"/>
    <pageSetUpPr/>
  </sheetPr>
  <dimension ref="A1:H5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3" customWidth="1" min="1" max="1"/>
    <col width="46" customWidth="1" min="2" max="2"/>
    <col width="14" customWidth="1" min="3" max="3"/>
    <col width="14" customWidth="1" min="4" max="4"/>
    <col width="14" customWidth="1" min="5" max="5"/>
    <col width="14" customWidth="1" min="6" max="6"/>
    <col width="14" customWidth="1" min="7" max="7"/>
    <col width="58" customWidth="1" min="8" max="8"/>
  </cols>
  <sheetData>
    <row r="1">
      <c r="A1" s="7" t="inlineStr">
        <is>
          <t>« Inicio</t>
        </is>
      </c>
    </row>
    <row r="2" ht="24" customHeight="1">
      <c r="B2" s="8" t="inlineStr">
        <is>
          <t>HIPÓTESIS</t>
        </is>
      </c>
    </row>
    <row r="3">
      <c r="B3" s="3" t="inlineStr">
        <is>
          <t>Cada variable necesita valor, fuente y justificación. Las celdas amarillas son las que se cargan a mano.</t>
        </is>
      </c>
    </row>
    <row r="4"/>
    <row r="5"/>
    <row r="6">
      <c r="B6" s="9" t="inlineStr">
        <is>
          <t>Supuestos macroeconómicos</t>
        </is>
      </c>
      <c r="C6" s="10" t="n"/>
      <c r="D6" s="10" t="n"/>
      <c r="E6" s="10" t="n"/>
      <c r="F6" s="10" t="n"/>
      <c r="G6" s="10" t="n"/>
      <c r="H6" s="10" t="n"/>
    </row>
    <row r="7">
      <c r="C7" s="11" t="n">
        <v>2027</v>
      </c>
      <c r="D7" s="11" t="n">
        <v>2028</v>
      </c>
      <c r="E7" s="11" t="n">
        <v>2029</v>
      </c>
      <c r="F7" s="11" t="n">
        <v>2030</v>
      </c>
      <c r="H7" s="12" t="inlineStr">
        <is>
          <t>Fuente y justificación</t>
        </is>
      </c>
    </row>
    <row r="8">
      <c r="B8" s="13" t="inlineStr">
        <is>
          <t>Inflación anual proyectada</t>
        </is>
      </c>
      <c r="C8" s="14" t="n">
        <v>0.205</v>
      </c>
      <c r="D8" s="14" t="n">
        <v>0.141</v>
      </c>
      <c r="E8" s="14" t="n">
        <v>0.12</v>
      </c>
      <c r="F8" s="14" t="n">
        <v>0.1</v>
      </c>
      <c r="H8" s="3" t="inlineStr">
        <is>
          <t>REM del BCRA, agosto de 2026 (mediana): 20,5 % para 2027 y 14,1 % para 2028. 2029 y 2030 son extrapolación propia de esa senda: el REM llega a tres períodos anuales</t>
        </is>
      </c>
    </row>
    <row r="9">
      <c r="B9" s="13" t="inlineStr">
        <is>
          <t>Tipo de cambio promedio (ARS/USD)</t>
        </is>
      </c>
      <c r="C9" s="15" t="n">
        <v>1800</v>
      </c>
      <c r="D9" s="15" t="n">
        <v>2050</v>
      </c>
      <c r="E9" s="15" t="n">
        <v>2300</v>
      </c>
      <c r="F9" s="15" t="n">
        <v>2530</v>
      </c>
      <c r="H9" s="3" t="inlineStr">
        <is>
          <t>REM del BCRA, agosto de 2026 (mediana): 1.661 $/USD en ene-27 y 1.844 a doce meses. El promedio de 2027 sale de esa senda; de 2028 en adelante acompaña a la inflación</t>
        </is>
      </c>
    </row>
    <row r="10">
      <c r="B10" s="13" t="inlineStr">
        <is>
          <t>Tasa de interés de referencia</t>
        </is>
      </c>
      <c r="C10" s="14" t="n">
        <v>0.21</v>
      </c>
      <c r="D10" s="14" t="n">
        <v>0.16</v>
      </c>
      <c r="E10" s="14" t="n">
        <v>0.135</v>
      </c>
      <c r="F10" s="14" t="n">
        <v>0.12</v>
      </c>
      <c r="H10" s="3" t="inlineStr">
        <is>
          <t>REM del BCRA, agosto de 2026: TAMAR de bancos privados 23,45 % TNA a dic-26. El promedio de 2027 sale de continuar esa baja; de 2028 en adelante, extrapolación propia</t>
        </is>
      </c>
    </row>
    <row r="11">
      <c r="B11" s="13" t="inlineStr">
        <is>
          <t>Puntos de precio de lista sobre la inflación</t>
        </is>
      </c>
      <c r="C11" s="14" t="n">
        <v>0.03</v>
      </c>
      <c r="D11" s="14" t="n">
        <v>0.03</v>
      </c>
      <c r="E11" s="14" t="n">
        <v>0.03</v>
      </c>
      <c r="F11" s="14" t="n">
        <v>0.03</v>
      </c>
      <c r="H11" s="3" t="inlineStr">
        <is>
          <t>Política propia: la lista se revisa por trimestre y se ubica 3 puntos por encima de la inflación proyectada, para que el precio real no se licúe</t>
        </is>
      </c>
    </row>
    <row r="12">
      <c r="B12" s="13" t="inlineStr">
        <is>
          <t>Aumento anual de precios de lista</t>
        </is>
      </c>
      <c r="C12" s="16">
        <f>$C$8+$C$11</f>
        <v/>
      </c>
      <c r="D12" s="16">
        <f>$D$8+$D$11</f>
        <v/>
      </c>
      <c r="E12" s="16">
        <f>$E$8+$E$11</f>
        <v/>
      </c>
      <c r="F12" s="16">
        <f>$F$8+$F$11</f>
        <v/>
      </c>
      <c r="H12" s="3" t="inlineStr">
        <is>
          <t>Calculado: inflación del año más los puntos de arriba. Antes estaba tipeado con la cuenta ya hecha, así que cambiar la inflación no lo movía</t>
        </is>
      </c>
    </row>
    <row r="13">
      <c r="B13" s="13" t="inlineStr">
        <is>
          <t>Puntos de salario sobre la inflación</t>
        </is>
      </c>
      <c r="C13" s="14" t="n">
        <v>0.05</v>
      </c>
      <c r="D13" s="14" t="n">
        <v>0.05</v>
      </c>
      <c r="E13" s="14" t="n">
        <v>0.05</v>
      </c>
      <c r="F13" s="14" t="n">
        <v>0.05</v>
      </c>
      <c r="H13" s="3" t="inlineStr">
        <is>
          <t>Política propia: 5 puntos por encima de la inflación, que es la recomposición real que viene mostrando el sector. Contrastar contra la encuesta de sueldos de Sysarmy</t>
        </is>
      </c>
    </row>
    <row r="14">
      <c r="B14" s="13" t="inlineStr">
        <is>
          <t>Aumento anual de salarios</t>
        </is>
      </c>
      <c r="C14" s="16">
        <f>$C$8+$C$13</f>
        <v/>
      </c>
      <c r="D14" s="16">
        <f>$D$8+$D$13</f>
        <v/>
      </c>
      <c r="E14" s="16">
        <f>$E$8+$E$13</f>
        <v/>
      </c>
      <c r="F14" s="16">
        <f>$F$8+$F$13</f>
        <v/>
      </c>
      <c r="H14" s="3" t="inlineStr">
        <is>
          <t>Calculado: inflación del año más los puntos de arriba</t>
        </is>
      </c>
    </row>
    <row r="15"/>
    <row r="16">
      <c r="B16" s="13" t="inlineStr">
        <is>
          <t>Prima de riesgo del proyecto sobre la inflación</t>
        </is>
      </c>
      <c r="C16" s="14" t="n">
        <v>0.2</v>
      </c>
      <c r="H16" s="3" t="inlineStr">
        <is>
          <t>Decisión propia: 20 puntos reales es lo que un proyecto de software sin historial tiene que ofrecer por encima de la inflación para justificar el capital propio</t>
        </is>
      </c>
    </row>
    <row r="17">
      <c r="B17" s="13" t="inlineStr">
        <is>
          <t>Tasa de corte para el VAN</t>
        </is>
      </c>
      <c r="C17" s="16">
        <f>$C$8+$C$16</f>
        <v/>
      </c>
      <c r="H17" s="3" t="inlineStr">
        <is>
          <t>Calculado: inflación del año 1 más la prima de riesgo. Es el costo de oportunidad del capital propio, nominal en pesos</t>
        </is>
      </c>
    </row>
    <row r="18">
      <c r="B18" s="13" t="inlineStr">
        <is>
          <t xml:space="preserve">    Cuánto le gana a la tasa de referencia</t>
        </is>
      </c>
      <c r="C18" s="16">
        <f>$C$17-$C$10</f>
        <v/>
      </c>
      <c r="H18" s="3" t="inlineStr">
        <is>
          <t>Control: si la tasa de corte no le gana a la TAMAR del REM, el proyecto no compite contra un plazo fijo y el VAN pierde sentido</t>
        </is>
      </c>
    </row>
    <row r="19">
      <c r="B19" s="13" t="inlineStr">
        <is>
          <t>Múltiplo de ingresos anuales para el valor terminal</t>
        </is>
      </c>
      <c r="C19" s="17" t="n">
        <v>1.5</v>
      </c>
      <c r="H19" s="3" t="inlineStr">
        <is>
          <t>Cuántas veces los ingresos del último año vale la cartera al cierre del horizonte. Rango de mercado para un MSP chico: 1x a 3x</t>
        </is>
      </c>
    </row>
    <row r="20"/>
    <row r="21">
      <c r="B21" s="9" t="inlineStr">
        <is>
          <t>Mercado meta</t>
        </is>
      </c>
      <c r="C21" s="10" t="n"/>
      <c r="D21" s="10" t="n"/>
      <c r="E21" s="10" t="n"/>
      <c r="F21" s="10" t="n"/>
      <c r="G21" s="10" t="n"/>
      <c r="H21" s="10" t="n"/>
    </row>
    <row r="22">
      <c r="B22" s="13" t="inlineStr">
        <is>
          <t>PyMEs empleadoras en el país</t>
        </is>
      </c>
      <c r="C22" s="15" t="n">
        <v>549100</v>
      </c>
      <c r="H22" s="3" t="inlineStr">
        <is>
          <t>SEPYME / CEP XXI, datos de 2023. Es la base de todo el dimensionamiento</t>
        </is>
      </c>
    </row>
    <row r="23">
      <c r="B23" s="13" t="inlineStr">
        <is>
          <t xml:space="preserve">    de 10 a 49 empleados</t>
        </is>
      </c>
      <c r="C23" s="14" t="n">
        <v>0.12</v>
      </c>
      <c r="H23" s="3" t="inlineStr">
        <is>
          <t>SEPYME: 85 % microempresas de 1 a 9, 12 % pequeñas de 10 a 49, 2,5 % medianas</t>
        </is>
      </c>
    </row>
    <row r="24">
      <c r="B24" s="13" t="inlineStr">
        <is>
          <t xml:space="preserve">    microempresas de 1 a 9 empleados</t>
        </is>
      </c>
      <c r="C24" s="14" t="n">
        <v>0.85</v>
      </c>
      <c r="H24" s="3" t="inlineStr">
        <is>
          <t>SEPYME</t>
        </is>
      </c>
    </row>
    <row r="25">
      <c r="B25" s="13" t="inlineStr">
        <is>
          <t xml:space="preserve">    de esas microempresas, las de 5 a 9</t>
        </is>
      </c>
      <c r="C25" s="14" t="n">
        <v>0.2</v>
      </c>
      <c r="H25" s="3" t="inlineStr">
        <is>
          <t>Supuesto propio: el tramo de 1 a 4 concentra la mayor parte de las microempresas. Es el supuesto que más mueve el resultado y por eso está declarado aparte</t>
        </is>
      </c>
    </row>
    <row r="26">
      <c r="B26" s="13" t="inlineStr">
        <is>
          <t>Participación de CABA</t>
        </is>
      </c>
      <c r="C26" s="14" t="n">
        <v>0.172</v>
      </c>
      <c r="H26" s="3" t="inlineStr">
        <is>
          <t>SEPYME, 2023: CABA reúne el 17,2 % de los establecimientos del país</t>
        </is>
      </c>
    </row>
    <row r="27">
      <c r="B27" s="13" t="inlineStr">
        <is>
          <t>Participación de la provincia de Buenos Aires</t>
        </is>
      </c>
      <c r="C27" s="14" t="n">
        <v>0.323</v>
      </c>
      <c r="H27" s="3" t="inlineStr">
        <is>
          <t>SEPYME, 2023: la Provincia reúne el 32,3 %</t>
        </is>
      </c>
    </row>
    <row r="28">
      <c r="B28" s="13" t="inlineStr">
        <is>
          <t xml:space="preserve">    de la Provincia, lo que cae dentro del AMBA</t>
        </is>
      </c>
      <c r="C28" s="14" t="n">
        <v>0.75</v>
      </c>
      <c r="H28" s="3" t="inlineStr">
        <is>
          <t>Supuesto propio: los 24 partidos del Gran Buenos Aires concentran la mayor parte de la actividad económica de la Provincia, más que su proporción de población</t>
        </is>
      </c>
    </row>
    <row r="29">
      <c r="B29" s="13" t="inlineStr">
        <is>
          <t>PyMEs de 5 a 50 empleados en AMBA</t>
        </is>
      </c>
      <c r="C29" s="18">
        <f>ROUND(C22*(C23+C24*C25)*(C26+C27*C28),0)</f>
        <v/>
      </c>
      <c r="H29" s="3" t="inlineStr">
        <is>
          <t>Calculado: (pequeñas de 10 a 49 + el tramo de 5 a 9 de las microempresas) por la participación del AMBA. Reemplaza a los 72.000 que el plan traía sin fuente citada</t>
        </is>
      </c>
    </row>
    <row r="30">
      <c r="B30" s="13" t="inlineStr">
        <is>
          <t>% con dependencia operativa alta de sus equipos</t>
        </is>
      </c>
      <c r="C30" s="14" t="n">
        <v>0.32</v>
      </c>
      <c r="H30" s="3" t="inlineStr">
        <is>
          <t>Servicios profesionales, salud, educación privada y comercio digitalizado (documento, 4.2)</t>
        </is>
      </c>
    </row>
    <row r="31">
      <c r="B31" s="13" t="inlineStr">
        <is>
          <t>Mercado meta alcanzable</t>
        </is>
      </c>
      <c r="C31" s="18">
        <f>ROUND(C29*C30,0)</f>
        <v/>
      </c>
      <c r="H31" s="3" t="inlineStr">
        <is>
          <t>Calculado</t>
        </is>
      </c>
    </row>
    <row r="32">
      <c r="B32" s="13" t="inlineStr">
        <is>
          <t>Participación objetivo al año 4</t>
        </is>
      </c>
      <c r="C32" s="14" t="n">
        <v>0.014</v>
      </c>
      <c r="H32" s="3" t="inlineStr">
        <is>
          <t>Decisión propia. Punto intermedio entre el 1,1 % que declaraba el plan y el 1,66 % que proyecta el modelo: el objetivo estaba corto y la proyección es optimista, así que se corrigen los dos hacia el medio en lugar de forzar uno para que coincida con el otro</t>
        </is>
      </c>
    </row>
    <row r="33"/>
    <row r="34">
      <c r="B34" s="9" t="inlineStr">
        <is>
          <t>Embudo comercial</t>
        </is>
      </c>
      <c r="C34" s="10" t="n"/>
      <c r="D34" s="10" t="n"/>
      <c r="E34" s="10" t="n"/>
      <c r="F34" s="10" t="n"/>
      <c r="G34" s="10" t="n"/>
      <c r="H34" s="19" t="inlineStr">
        <is>
          <t>Tasas de la sección 5.3.5 del documento, tomando el punto medio de cada rango</t>
        </is>
      </c>
    </row>
    <row r="35">
      <c r="B35" s="13" t="inlineStr">
        <is>
          <t>Visitas web mensuales al inicio</t>
        </is>
      </c>
      <c r="C35" s="15" t="n">
        <v>300</v>
      </c>
      <c r="H35" s="3" t="inlineStr">
        <is>
          <t>Supuesto propio de arranque</t>
        </is>
      </c>
    </row>
    <row r="36">
      <c r="B36" s="13" t="inlineStr">
        <is>
          <t>Crecimiento mensual de visitas</t>
        </is>
      </c>
      <c r="C36" s="14" t="n">
        <v>0.12</v>
      </c>
      <c r="D36" s="14" t="n">
        <v>0.08</v>
      </c>
      <c r="E36" s="14" t="n">
        <v>0.05</v>
      </c>
      <c r="F36" s="14" t="n">
        <v>0.03</v>
      </c>
      <c r="H36" s="3" t="inlineStr">
        <is>
          <t>Por año. Se desacelera: sostener 12 % mensual durante cuatro años multiplicaría las visitas por 200, que no es defendible</t>
        </is>
      </c>
    </row>
    <row r="37">
      <c r="B37" s="13" t="inlineStr">
        <is>
          <t>Visitas a prueba gratuita iniciada</t>
        </is>
      </c>
      <c r="C37" s="14" t="n">
        <v>0.02</v>
      </c>
      <c r="H37" s="3" t="inlineStr">
        <is>
          <t>Decisión propia. Es la tasa de alta autogestionada de un producto que se prueba sin hablar con nadie; el rango del sector va de 1 % a 3 %</t>
        </is>
      </c>
    </row>
    <row r="38">
      <c r="B38" s="13" t="inlineStr">
        <is>
          <t>Prueba gratuita a cliente pago</t>
        </is>
      </c>
      <c r="C38" s="14" t="n">
        <v>0.12</v>
      </c>
      <c r="H38" s="3" t="inlineStr">
        <is>
          <t>Decisión propia. Convierte menos que una prueba precedida por demostración —el documento daba 25 % a 30 %— porque nadie califica al que se registra. Lo que se gana es que el volumen deja de depender de las horas de una persona</t>
        </is>
      </c>
    </row>
    <row r="39">
      <c r="B39" s="20" t="inlineStr">
        <is>
          <t>Conversión total de visita a cliente</t>
        </is>
      </c>
      <c r="C39" s="21">
        <f>C37*C38</f>
        <v/>
      </c>
      <c r="H39" s="3" t="inlineStr">
        <is>
          <t>Calculado. Con 1.000 visitas mensuales da del orden de 2 a 3 clientes nuevos por mes, que es lo que proyecta el documento para la Etapa E3</t>
        </is>
      </c>
    </row>
    <row r="40"/>
    <row r="41">
      <c r="B41" s="9" t="inlineStr">
        <is>
          <t>Pilotos y canal de partners</t>
        </is>
      </c>
      <c r="C41" s="10" t="n"/>
      <c r="D41" s="10" t="n"/>
      <c r="E41" s="10" t="n"/>
      <c r="F41" s="10" t="n"/>
      <c r="G41" s="10" t="n"/>
      <c r="H41" s="10" t="n"/>
    </row>
    <row r="42">
      <c r="B42" s="13" t="inlineStr">
        <is>
          <t>Pilotos gratuitos en la Etapa E1</t>
        </is>
      </c>
      <c r="C42" s="15" t="n">
        <v>5</v>
      </c>
      <c r="H42" s="3" t="inlineStr">
        <is>
          <t>Documento 5.3.4</t>
        </is>
      </c>
    </row>
    <row r="43">
      <c r="B43" s="13" t="inlineStr">
        <is>
          <t>% de pilotos que convierten a plan pago</t>
        </is>
      </c>
      <c r="C43" s="14" t="n">
        <v>0.6</v>
      </c>
      <c r="H43" s="3" t="inlineStr">
        <is>
          <t>Documento 5.3.4: al menos 3 de 5</t>
        </is>
      </c>
    </row>
    <row r="44">
      <c r="B44" s="13" t="inlineStr">
        <is>
          <t>Mes en que convierten los pilotos</t>
        </is>
      </c>
      <c r="C44" s="15" t="n">
        <v>6</v>
      </c>
      <c r="H44" s="3" t="inlineStr">
        <is>
          <t>Cierre de los 90 días de piloto</t>
        </is>
      </c>
    </row>
    <row r="45">
      <c r="B45" s="13" t="inlineStr">
        <is>
          <t>Partners activos al cierre de cada año</t>
        </is>
      </c>
      <c r="C45" s="15" t="n">
        <v>3</v>
      </c>
      <c r="D45" s="15" t="n">
        <v>8</v>
      </c>
      <c r="E45" s="15" t="n">
        <v>15</v>
      </c>
      <c r="F45" s="15" t="n">
        <v>25</v>
      </c>
      <c r="H45" s="3" t="inlineStr">
        <is>
          <t>Documento 5.3.1: 3 partners operativos al mes 12</t>
        </is>
      </c>
    </row>
    <row r="46">
      <c r="B46" s="13" t="inlineStr">
        <is>
          <t>Clientes gestionados por cada partner</t>
        </is>
      </c>
      <c r="C46" s="17" t="n">
        <v>3</v>
      </c>
      <c r="D46" s="17" t="n">
        <v>4</v>
      </c>
      <c r="E46" s="17" t="n">
        <v>5</v>
      </c>
      <c r="F46" s="17" t="n">
        <v>5</v>
      </c>
      <c r="H46" s="3" t="inlineStr">
        <is>
          <t>Documento 5.3.6: mínimo de 3 clientes gestionados para acceder al descuento. Es un stock, no un flujo: un partner tiene una cartera finita</t>
        </is>
      </c>
    </row>
    <row r="47">
      <c r="B47" s="13" t="inlineStr">
        <is>
          <t>Altas anuales del Plan Estándar (Segmento B)</t>
        </is>
      </c>
      <c r="C47" s="17" t="n">
        <v>1.2</v>
      </c>
      <c r="D47" s="17" t="n">
        <v>4.8</v>
      </c>
      <c r="E47" s="17" t="n">
        <v>9.6</v>
      </c>
      <c r="F47" s="17" t="n">
        <v>14.4</v>
      </c>
      <c r="H47" s="3" t="inlineStr">
        <is>
          <t>Documento 5.3.5: ciclo de venta de 60 a 90 días y el primer cliente en la Etapa E3. Es un supuesto directo y no sale del embudo: al Segmento B se lo sale a buscar, no entra por la web</t>
        </is>
      </c>
    </row>
    <row r="48"/>
    <row r="49">
      <c r="B49" s="9" t="inlineStr">
        <is>
          <t>Retención y parque administrado</t>
        </is>
      </c>
      <c r="C49" s="10" t="n"/>
      <c r="D49" s="10" t="n"/>
      <c r="E49" s="10" t="n"/>
      <c r="F49" s="10" t="n"/>
      <c r="G49" s="10" t="n"/>
      <c r="H49" s="10" t="n"/>
    </row>
    <row r="50">
      <c r="B50" s="13" t="inlineStr">
        <is>
          <t>Baja mensual de clientes</t>
        </is>
      </c>
      <c r="C50" s="14" t="n">
        <v>0.07000000000000001</v>
      </c>
      <c r="D50" s="14" t="n">
        <v>0.05</v>
      </c>
      <c r="E50" s="14" t="n">
        <v>0.04</v>
      </c>
      <c r="F50" s="14" t="n">
        <v>0.04</v>
      </c>
      <c r="H50" s="3" t="inlineStr">
        <is>
          <t>Documento 5.3.3: menor o igual a 7 % en E2 y a 5 % en E3</t>
        </is>
      </c>
    </row>
    <row r="51">
      <c r="B51" s="13" t="inlineStr">
        <is>
          <t>Equipos promedio por cliente — Plan Inicial</t>
        </is>
      </c>
      <c r="C51" s="17" t="n">
        <v>18</v>
      </c>
      <c r="D51" s="17" t="n">
        <v>20</v>
      </c>
      <c r="E51" s="17" t="n">
        <v>22</v>
      </c>
      <c r="F51" s="17" t="n">
        <v>24</v>
      </c>
      <c r="H51" s="3" t="inlineStr">
        <is>
          <t>Segmento A: de 10 a 80 equipos (documento, 4.2). Por encima de los 15 que incluye el plan, así que genera facturación por equipo adicional</t>
        </is>
      </c>
    </row>
    <row r="52">
      <c r="B52" s="13" t="inlineStr">
        <is>
          <t>Equipos promedio por cliente — Plan Estándar</t>
        </is>
      </c>
      <c r="C52" s="17" t="n">
        <v>90</v>
      </c>
      <c r="D52" s="17" t="n">
        <v>100</v>
      </c>
      <c r="E52" s="17" t="n">
        <v>110</v>
      </c>
      <c r="F52" s="17" t="n">
        <v>120</v>
      </c>
      <c r="H52" s="3" t="inlineStr">
        <is>
          <t>Segmento B: de 80 a 250 equipos</t>
        </is>
      </c>
    </row>
    <row r="53">
      <c r="B53" s="13" t="inlineStr">
        <is>
          <t>Equipos promedio por cliente — Plan Partner</t>
        </is>
      </c>
      <c r="C53" s="17" t="n">
        <v>15</v>
      </c>
      <c r="D53" s="17" t="n">
        <v>16</v>
      </c>
      <c r="E53" s="17" t="n">
        <v>17</v>
      </c>
      <c r="F53" s="17" t="n">
        <v>18</v>
      </c>
      <c r="H53" s="3" t="inlineStr">
        <is>
          <t>Clientes chicos gestionados por el canal</t>
        </is>
      </c>
    </row>
    <row r="54"/>
    <row r="55">
      <c r="B55" s="3" t="inlineStr">
        <is>
          <t>Las filas marcadas PENDIENTE no tienen valor cargado a propósito: son las que exigen fuente citada y no se completan a ojo.</t>
        </is>
      </c>
    </row>
  </sheetData>
  <mergeCells count="1">
    <mergeCell ref="B2:H2"/>
  </mergeCells>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tabColor rgb="008EA9DB"/>
    <outlinePr summaryBelow="1" summaryRight="1"/>
    <pageSetUpPr/>
  </sheetPr>
  <dimension ref="A1:L12"/>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60" customWidth="1" min="11" max="11"/>
  </cols>
  <sheetData>
    <row r="1">
      <c r="A1" s="7" t="inlineStr">
        <is>
          <t>« Inicio</t>
        </is>
      </c>
    </row>
    <row r="2" ht="24" customHeight="1">
      <c r="B2" s="8" t="inlineStr">
        <is>
          <t>LÍNEAS DE SERVICIO</t>
        </is>
      </c>
    </row>
    <row r="3">
      <c r="B3" s="3" t="inlineStr">
        <is>
          <t>Precios revisados en D-14, no los de la sección 5.3.6 del documento. Costos variables unitarios de la sección 6.5.3.</t>
        </is>
      </c>
    </row>
    <row r="4"/>
    <row r="5"/>
    <row r="6" ht="32" customHeight="1">
      <c r="B6" s="22" t="inlineStr">
        <is>
          <t>Plan</t>
        </is>
      </c>
      <c r="C6" s="22" t="inlineStr">
        <is>
          <t>Segmento</t>
        </is>
      </c>
      <c r="D6" s="22" t="inlineStr">
        <is>
          <t>Abono mensual</t>
        </is>
      </c>
      <c r="E6" s="22" t="inlineStr">
        <is>
          <t>Equipos incluidos</t>
        </is>
      </c>
      <c r="F6" s="22" t="inlineStr">
        <is>
          <t>Equipo adicional</t>
        </is>
      </c>
      <c r="G6" s="22" t="inlineStr">
        <is>
          <t>CV infraestructura</t>
        </is>
      </c>
      <c r="H6" s="22" t="inlineStr">
        <is>
          <t>CV soporte</t>
        </is>
      </c>
      <c r="I6" s="22" t="inlineStr">
        <is>
          <t>CV servicio de IA</t>
        </is>
      </c>
      <c r="J6" s="22" t="inlineStr">
        <is>
          <t>CV total</t>
        </is>
      </c>
      <c r="K6" s="22" t="inlineStr">
        <is>
          <t>Margen de contribución</t>
        </is>
      </c>
    </row>
    <row r="7">
      <c r="B7" s="20" t="inlineStr">
        <is>
          <t>Plan Inicial</t>
        </is>
      </c>
      <c r="C7" s="13" t="inlineStr">
        <is>
          <t>A</t>
        </is>
      </c>
      <c r="D7" s="15" t="n">
        <v>89000</v>
      </c>
      <c r="E7" s="15" t="n">
        <v>15</v>
      </c>
      <c r="F7" s="15" t="n">
        <v>4200</v>
      </c>
      <c r="G7" s="15" t="n">
        <v>3000</v>
      </c>
      <c r="H7" s="15" t="n">
        <v>4000</v>
      </c>
      <c r="I7" s="15" t="n">
        <v>1500</v>
      </c>
      <c r="J7" s="18">
        <f>SUM(G7:I7)</f>
        <v/>
      </c>
      <c r="K7" s="23">
        <f>(D7-J7)/D7</f>
        <v/>
      </c>
      <c r="L7" s="3" t="inlineStr">
        <is>
          <t>Precio revisado (D-14). USD 49,4 por 15 equipos: USD 3,3 por equipo</t>
        </is>
      </c>
    </row>
    <row r="8">
      <c r="B8" s="20" t="inlineStr">
        <is>
          <t>Plan Estándar</t>
        </is>
      </c>
      <c r="C8" s="13" t="inlineStr">
        <is>
          <t>B</t>
        </is>
      </c>
      <c r="D8" s="15" t="n">
        <v>239000</v>
      </c>
      <c r="E8" s="15" t="n">
        <v>50</v>
      </c>
      <c r="F8" s="15" t="n">
        <v>3500</v>
      </c>
      <c r="G8" s="15" t="n">
        <v>9000</v>
      </c>
      <c r="H8" s="15" t="n">
        <v>12000</v>
      </c>
      <c r="I8" s="15" t="n">
        <v>4000</v>
      </c>
      <c r="J8" s="18">
        <f>SUM(G8:I8)</f>
        <v/>
      </c>
      <c r="K8" s="23">
        <f>(D8-J8)/D8</f>
        <v/>
      </c>
      <c r="L8" s="3" t="inlineStr">
        <is>
          <t>Precio revisado (D-14). USD 132,8 por 50 equipos: USD 2,7 por equipo</t>
        </is>
      </c>
    </row>
    <row r="9">
      <c r="B9" s="20" t="inlineStr">
        <is>
          <t>Plan Partner</t>
        </is>
      </c>
      <c r="C9" s="13" t="inlineStr">
        <is>
          <t>C</t>
        </is>
      </c>
      <c r="D9" s="15" t="n">
        <v>69000</v>
      </c>
      <c r="E9" s="15" t="n">
        <v>30</v>
      </c>
      <c r="F9" s="15" t="n">
        <v>2800</v>
      </c>
      <c r="G9" s="15" t="n">
        <v>2500</v>
      </c>
      <c r="H9" s="15" t="n">
        <v>2500</v>
      </c>
      <c r="I9" s="15" t="n">
        <v>2000</v>
      </c>
      <c r="J9" s="18">
        <f>SUM(G9:I9)</f>
        <v/>
      </c>
      <c r="K9" s="23">
        <f>(D9-J9)/D9</f>
        <v/>
      </c>
      <c r="L9" s="3" t="inlineStr">
        <is>
          <t>Precio revisado (D-14). USD 38,3 por 30 equipos: USD 1,3 por equipo. Mas bajo porque el partner aporta el canal y la primera linea de soporte</t>
        </is>
      </c>
    </row>
    <row r="10"/>
    <row r="11">
      <c r="B11" s="24" t="inlineStr">
        <is>
          <t>El margen de contribución de cada línea lo calcula la columna de la derecha y hoy da alrededor del 90 % en las tres. Es alto, y tiene una explicación: el costo variable de un cliente de software es infraestructura y soporte, no producto. Lo que se come ese margen no es el costo variable sino la estructura fija y los sueldos, que es donde se juega el punto de equilibrio. Hasta la revisión de precios de D-14 daba entre 74 % y 76 %, que es lo que todavía dice la sección 6.5.3 del documento: hay que actualizarla.</t>
        </is>
      </c>
    </row>
    <row r="12"/>
  </sheetData>
  <mergeCells count="2">
    <mergeCell ref="B11:L12"/>
    <mergeCell ref="B2:H2"/>
  </mergeCells>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U131"/>
  <sheetViews>
    <sheetView showGridLines="0" workbookViewId="0">
      <pane xSplit="2" topLeftCell="C1" activePane="topRight" state="frozen"/>
      <selection pane="topRight" activeCell="A1" sqref="A1"/>
    </sheetView>
  </sheetViews>
  <sheetFormatPr baseColWidth="8" defaultRowHeight="15"/>
  <cols>
    <col width="16" customWidth="1" min="1" max="1"/>
    <col width="4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 width="30" customWidth="1" min="17" max="17"/>
    <col width="14" customWidth="1" min="18" max="18"/>
    <col width="14"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14"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4"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4" customWidth="1" min="54" max="54"/>
  </cols>
  <sheetData>
    <row r="1">
      <c r="A1" s="7" t="inlineStr">
        <is>
          <t>« Inicio</t>
        </is>
      </c>
    </row>
    <row r="2" ht="24" customHeight="1">
      <c r="B2" s="8" t="inlineStr">
        <is>
          <t>PROYECCIÓN DE VENTAS</t>
        </is>
      </c>
    </row>
    <row r="3">
      <c r="B3" s="3" t="inlineStr">
        <is>
          <t>Clientes por línea de servicio, mes a mes. Las altas salen del embudo comercial, de la conversión de pilotos y del canal de partners; las tres fuentes se modelan por separado.</t>
        </is>
      </c>
      <c r="Q3" s="5" t="inlineStr">
        <is>
          <t>Resumen anual</t>
        </is>
      </c>
    </row>
    <row r="4">
      <c r="Q4" s="3" t="inlineStr">
        <is>
          <t>Los totales de cada año, que son los que alimentan el gráfico.</t>
        </is>
      </c>
    </row>
    <row r="5">
      <c r="Q5" s="20" t="inlineStr">
        <is>
          <t>Concepto</t>
        </is>
      </c>
      <c r="R5" s="11" t="n">
        <v>2027</v>
      </c>
      <c r="S5" s="11" t="n">
        <v>2028</v>
      </c>
      <c r="T5" s="11" t="n">
        <v>2029</v>
      </c>
      <c r="U5" s="11" t="n">
        <v>2030</v>
      </c>
    </row>
    <row r="6">
      <c r="Q6" s="13" t="inlineStr">
        <is>
          <t>Plan Inicial — Segmento A</t>
        </is>
      </c>
      <c r="R6" s="25">
        <f>O20</f>
        <v/>
      </c>
      <c r="S6" s="25">
        <f>O50</f>
        <v/>
      </c>
      <c r="T6" s="25">
        <f>O80</f>
        <v/>
      </c>
      <c r="U6" s="25">
        <f>O110</f>
        <v/>
      </c>
    </row>
    <row r="7">
      <c r="C7" s="5" t="n">
        <v>2027</v>
      </c>
      <c r="Q7" s="13" t="inlineStr">
        <is>
          <t>Plan Estándar — Segmento B</t>
        </is>
      </c>
      <c r="R7" s="25">
        <f>O26</f>
        <v/>
      </c>
      <c r="S7" s="25">
        <f>O56</f>
        <v/>
      </c>
      <c r="T7" s="25">
        <f>O86</f>
        <v/>
      </c>
      <c r="U7" s="25">
        <f>O116</f>
        <v/>
      </c>
    </row>
    <row r="8">
      <c r="C8" s="26" t="inlineStr">
        <is>
          <t>Ene</t>
        </is>
      </c>
      <c r="D8" s="26" t="inlineStr">
        <is>
          <t>Feb</t>
        </is>
      </c>
      <c r="E8" s="26" t="inlineStr">
        <is>
          <t>Mar</t>
        </is>
      </c>
      <c r="F8" s="26" t="inlineStr">
        <is>
          <t>Abr</t>
        </is>
      </c>
      <c r="G8" s="26" t="inlineStr">
        <is>
          <t>May</t>
        </is>
      </c>
      <c r="H8" s="26" t="inlineStr">
        <is>
          <t>Jun</t>
        </is>
      </c>
      <c r="I8" s="26" t="inlineStr">
        <is>
          <t>Jul</t>
        </is>
      </c>
      <c r="J8" s="26" t="inlineStr">
        <is>
          <t>Ago</t>
        </is>
      </c>
      <c r="K8" s="26" t="inlineStr">
        <is>
          <t>Sep</t>
        </is>
      </c>
      <c r="L8" s="26" t="inlineStr">
        <is>
          <t>Oct</t>
        </is>
      </c>
      <c r="M8" s="26" t="inlineStr">
        <is>
          <t>Nov</t>
        </is>
      </c>
      <c r="N8" s="26" t="inlineStr">
        <is>
          <t>Dic</t>
        </is>
      </c>
      <c r="O8" s="27" t="inlineStr">
        <is>
          <t>Total 2027</t>
        </is>
      </c>
      <c r="Q8" s="13" t="inlineStr">
        <is>
          <t>Plan Partner — Segmento C</t>
        </is>
      </c>
      <c r="R8" s="25">
        <f>O30</f>
        <v/>
      </c>
      <c r="S8" s="25">
        <f>O60</f>
        <v/>
      </c>
      <c r="T8" s="25">
        <f>O90</f>
        <v/>
      </c>
      <c r="U8" s="25">
        <f>O120</f>
        <v/>
      </c>
    </row>
    <row r="9"/>
    <row r="10">
      <c r="B10" s="9" t="inlineStr">
        <is>
          <t>Embudo comercial</t>
        </is>
      </c>
      <c r="C10" s="10" t="n"/>
      <c r="D10" s="10" t="n"/>
      <c r="E10" s="10" t="n"/>
      <c r="F10" s="10" t="n"/>
      <c r="G10" s="10" t="n"/>
      <c r="H10" s="10" t="n"/>
      <c r="I10" s="10" t="n"/>
      <c r="J10" s="10" t="n"/>
      <c r="K10" s="10" t="n"/>
      <c r="L10" s="10" t="n"/>
      <c r="M10" s="10" t="n"/>
      <c r="N10" s="10" t="n"/>
      <c r="O10" s="10" t="n"/>
    </row>
    <row r="11">
      <c r="A11" s="20" t="inlineStr">
        <is>
          <t>EMBUDO</t>
        </is>
      </c>
      <c r="B11" s="13" t="inlineStr">
        <is>
          <t>Visitas web</t>
        </is>
      </c>
      <c r="C11" s="28">
        <f>Hipótesis!$C$35</f>
        <v/>
      </c>
      <c r="D11" s="28">
        <f>C11*(1+Hipótesis!$C$36)</f>
        <v/>
      </c>
      <c r="E11" s="28">
        <f>D11*(1+Hipótesis!$C$36)</f>
        <v/>
      </c>
      <c r="F11" s="28">
        <f>E11*(1+Hipótesis!$C$36)</f>
        <v/>
      </c>
      <c r="G11" s="28">
        <f>F11*(1+Hipótesis!$C$36)</f>
        <v/>
      </c>
      <c r="H11" s="28">
        <f>G11*(1+Hipótesis!$C$36)</f>
        <v/>
      </c>
      <c r="I11" s="28">
        <f>H11*(1+Hipótesis!$C$36)</f>
        <v/>
      </c>
      <c r="J11" s="28">
        <f>I11*(1+Hipótesis!$C$36)</f>
        <v/>
      </c>
      <c r="K11" s="28">
        <f>J11*(1+Hipótesis!$C$36)</f>
        <v/>
      </c>
      <c r="L11" s="28">
        <f>K11*(1+Hipótesis!$C$36)</f>
        <v/>
      </c>
      <c r="M11" s="28">
        <f>L11*(1+Hipótesis!$C$36)</f>
        <v/>
      </c>
      <c r="N11" s="28">
        <f>M11*(1+Hipótesis!$C$36)</f>
        <v/>
      </c>
      <c r="O11" s="29">
        <f>SUM(C11:N11)</f>
        <v/>
      </c>
    </row>
    <row r="12">
      <c r="B12" s="13" t="inlineStr">
        <is>
          <t xml:space="preserve">    Pruebas gratuitas iniciadas</t>
        </is>
      </c>
      <c r="C12" s="25">
        <f>C11*Hipótesis!$C$37</f>
        <v/>
      </c>
      <c r="D12" s="25">
        <f>D11*Hipótesis!$C$37</f>
        <v/>
      </c>
      <c r="E12" s="25">
        <f>E11*Hipótesis!$C$37</f>
        <v/>
      </c>
      <c r="F12" s="25">
        <f>F11*Hipótesis!$C$37</f>
        <v/>
      </c>
      <c r="G12" s="25">
        <f>G11*Hipótesis!$C$37</f>
        <v/>
      </c>
      <c r="H12" s="25">
        <f>H11*Hipótesis!$C$37</f>
        <v/>
      </c>
      <c r="I12" s="25">
        <f>I11*Hipótesis!$C$37</f>
        <v/>
      </c>
      <c r="J12" s="25">
        <f>J11*Hipótesis!$C$37</f>
        <v/>
      </c>
      <c r="K12" s="25">
        <f>K11*Hipótesis!$C$37</f>
        <v/>
      </c>
      <c r="L12" s="25">
        <f>L11*Hipótesis!$C$37</f>
        <v/>
      </c>
      <c r="M12" s="25">
        <f>M11*Hipótesis!$C$37</f>
        <v/>
      </c>
      <c r="N12" s="25">
        <f>N11*Hipótesis!$C$37</f>
        <v/>
      </c>
      <c r="O12" s="30">
        <f>SUM(C12:N12)</f>
        <v/>
      </c>
    </row>
    <row r="13">
      <c r="B13" s="20" t="inlineStr">
        <is>
          <t xml:space="preserve">    Clientes nuevos por embudo directo</t>
        </is>
      </c>
      <c r="C13" s="31">
        <f>IF(1&lt;Hipótesis!$C$44,0,C12*Hipótesis!$C$38)</f>
        <v/>
      </c>
      <c r="D13" s="31">
        <f>IF(2&lt;Hipótesis!$C$44,0,D12*Hipótesis!$C$38)</f>
        <v/>
      </c>
      <c r="E13" s="31">
        <f>IF(3&lt;Hipótesis!$C$44,0,E12*Hipótesis!$C$38)</f>
        <v/>
      </c>
      <c r="F13" s="31">
        <f>IF(4&lt;Hipótesis!$C$44,0,F12*Hipótesis!$C$38)</f>
        <v/>
      </c>
      <c r="G13" s="31">
        <f>IF(5&lt;Hipótesis!$C$44,0,G12*Hipótesis!$C$38)</f>
        <v/>
      </c>
      <c r="H13" s="31">
        <f>IF(6&lt;Hipótesis!$C$44,0,H12*Hipótesis!$C$38)</f>
        <v/>
      </c>
      <c r="I13" s="31">
        <f>IF(7&lt;Hipótesis!$C$44,0,I12*Hipótesis!$C$38)</f>
        <v/>
      </c>
      <c r="J13" s="31">
        <f>IF(8&lt;Hipótesis!$C$44,0,J12*Hipótesis!$C$38)</f>
        <v/>
      </c>
      <c r="K13" s="31">
        <f>IF(9&lt;Hipótesis!$C$44,0,K12*Hipótesis!$C$38)</f>
        <v/>
      </c>
      <c r="L13" s="31">
        <f>IF(10&lt;Hipótesis!$C$44,0,L12*Hipótesis!$C$38)</f>
        <v/>
      </c>
      <c r="M13" s="31">
        <f>IF(11&lt;Hipótesis!$C$44,0,M12*Hipótesis!$C$38)</f>
        <v/>
      </c>
      <c r="N13" s="31">
        <f>IF(12&lt;Hipótesis!$C$44,0,N12*Hipótesis!$C$38)</f>
        <v/>
      </c>
      <c r="O13" s="30">
        <f>SUM(C13:N13)</f>
        <v/>
      </c>
    </row>
    <row r="14"/>
    <row r="15">
      <c r="B15" s="9" t="inlineStr">
        <is>
          <t>Plan Inicial — Segmento A</t>
        </is>
      </c>
      <c r="C15" s="10" t="n"/>
      <c r="D15" s="10" t="n"/>
      <c r="E15" s="10" t="n"/>
      <c r="F15" s="10" t="n"/>
      <c r="G15" s="10" t="n"/>
      <c r="H15" s="10" t="n"/>
      <c r="I15" s="10" t="n"/>
      <c r="J15" s="10" t="n"/>
      <c r="K15" s="10" t="n"/>
      <c r="L15" s="10" t="n"/>
      <c r="M15" s="10" t="n"/>
      <c r="N15" s="10" t="n"/>
      <c r="O15" s="10" t="n"/>
    </row>
    <row r="16">
      <c r="A16" s="20" t="inlineStr">
        <is>
          <t>PLAN INICIAL</t>
        </is>
      </c>
      <c r="B16" s="13" t="inlineStr">
        <is>
          <t>Base al inicio del mes</t>
        </is>
      </c>
      <c r="C16" s="25" t="n">
        <v>0</v>
      </c>
      <c r="D16" s="25">
        <f>C20</f>
        <v/>
      </c>
      <c r="E16" s="25">
        <f>D20</f>
        <v/>
      </c>
      <c r="F16" s="25">
        <f>E20</f>
        <v/>
      </c>
      <c r="G16" s="25">
        <f>F20</f>
        <v/>
      </c>
      <c r="H16" s="25">
        <f>G20</f>
        <v/>
      </c>
      <c r="I16" s="25">
        <f>H20</f>
        <v/>
      </c>
      <c r="J16" s="25">
        <f>I20</f>
        <v/>
      </c>
      <c r="K16" s="25">
        <f>J20</f>
        <v/>
      </c>
      <c r="L16" s="25">
        <f>K20</f>
        <v/>
      </c>
      <c r="M16" s="25">
        <f>L20</f>
        <v/>
      </c>
      <c r="N16" s="25">
        <f>M20</f>
        <v/>
      </c>
    </row>
    <row r="17">
      <c r="B17" s="13" t="inlineStr">
        <is>
          <t xml:space="preserve">    Altas por embudo directo</t>
        </is>
      </c>
      <c r="C17" s="25">
        <f>C13</f>
        <v/>
      </c>
      <c r="D17" s="25">
        <f>D13</f>
        <v/>
      </c>
      <c r="E17" s="25">
        <f>E13</f>
        <v/>
      </c>
      <c r="F17" s="25">
        <f>F13</f>
        <v/>
      </c>
      <c r="G17" s="25">
        <f>G13</f>
        <v/>
      </c>
      <c r="H17" s="25">
        <f>H13</f>
        <v/>
      </c>
      <c r="I17" s="25">
        <f>I13</f>
        <v/>
      </c>
      <c r="J17" s="25">
        <f>J13</f>
        <v/>
      </c>
      <c r="K17" s="25">
        <f>K13</f>
        <v/>
      </c>
      <c r="L17" s="25">
        <f>L13</f>
        <v/>
      </c>
      <c r="M17" s="25">
        <f>M13</f>
        <v/>
      </c>
      <c r="N17" s="25">
        <f>N13</f>
        <v/>
      </c>
      <c r="O17" s="30">
        <f>SUM(C17:N17)</f>
        <v/>
      </c>
    </row>
    <row r="18">
      <c r="B18" s="13" t="inlineStr">
        <is>
          <t xml:space="preserve">    Altas por conversión de pilotos</t>
        </is>
      </c>
      <c r="C18" s="25">
        <f>IF(AND(1=Hipótesis!$C$44,1=1),Hipótesis!$C$42*Hipótesis!$C$43,0)</f>
        <v/>
      </c>
      <c r="D18" s="25">
        <f>IF(AND(2=Hipótesis!$C$44,1=1),Hipótesis!$C$42*Hipótesis!$C$43,0)</f>
        <v/>
      </c>
      <c r="E18" s="25">
        <f>IF(AND(3=Hipótesis!$C$44,1=1),Hipótesis!$C$42*Hipótesis!$C$43,0)</f>
        <v/>
      </c>
      <c r="F18" s="25">
        <f>IF(AND(4=Hipótesis!$C$44,1=1),Hipótesis!$C$42*Hipótesis!$C$43,0)</f>
        <v/>
      </c>
      <c r="G18" s="25">
        <f>IF(AND(5=Hipótesis!$C$44,1=1),Hipótesis!$C$42*Hipótesis!$C$43,0)</f>
        <v/>
      </c>
      <c r="H18" s="25">
        <f>IF(AND(6=Hipótesis!$C$44,1=1),Hipótesis!$C$42*Hipótesis!$C$43,0)</f>
        <v/>
      </c>
      <c r="I18" s="25">
        <f>IF(AND(7=Hipótesis!$C$44,1=1),Hipótesis!$C$42*Hipótesis!$C$43,0)</f>
        <v/>
      </c>
      <c r="J18" s="25">
        <f>IF(AND(8=Hipótesis!$C$44,1=1),Hipótesis!$C$42*Hipótesis!$C$43,0)</f>
        <v/>
      </c>
      <c r="K18" s="25">
        <f>IF(AND(9=Hipótesis!$C$44,1=1),Hipótesis!$C$42*Hipótesis!$C$43,0)</f>
        <v/>
      </c>
      <c r="L18" s="25">
        <f>IF(AND(10=Hipótesis!$C$44,1=1),Hipótesis!$C$42*Hipótesis!$C$43,0)</f>
        <v/>
      </c>
      <c r="M18" s="25">
        <f>IF(AND(11=Hipótesis!$C$44,1=1),Hipótesis!$C$42*Hipótesis!$C$43,0)</f>
        <v/>
      </c>
      <c r="N18" s="25">
        <f>IF(AND(12=Hipótesis!$C$44,1=1),Hipótesis!$C$42*Hipótesis!$C$43,0)</f>
        <v/>
      </c>
      <c r="O18" s="30">
        <f>SUM(C18:N18)</f>
        <v/>
      </c>
    </row>
    <row r="19">
      <c r="B19" s="13" t="inlineStr">
        <is>
          <t xml:space="preserve">    Bajas</t>
        </is>
      </c>
      <c r="C19" s="25">
        <f>-C16*Hipótesis!$C$50</f>
        <v/>
      </c>
      <c r="D19" s="25">
        <f>-D16*Hipótesis!$C$50</f>
        <v/>
      </c>
      <c r="E19" s="25">
        <f>-E16*Hipótesis!$C$50</f>
        <v/>
      </c>
      <c r="F19" s="25">
        <f>-F16*Hipótesis!$C$50</f>
        <v/>
      </c>
      <c r="G19" s="25">
        <f>-G16*Hipótesis!$C$50</f>
        <v/>
      </c>
      <c r="H19" s="25">
        <f>-H16*Hipótesis!$C$50</f>
        <v/>
      </c>
      <c r="I19" s="25">
        <f>-I16*Hipótesis!$C$50</f>
        <v/>
      </c>
      <c r="J19" s="25">
        <f>-J16*Hipótesis!$C$50</f>
        <v/>
      </c>
      <c r="K19" s="25">
        <f>-K16*Hipótesis!$C$50</f>
        <v/>
      </c>
      <c r="L19" s="25">
        <f>-L16*Hipótesis!$C$50</f>
        <v/>
      </c>
      <c r="M19" s="25">
        <f>-M16*Hipótesis!$C$50</f>
        <v/>
      </c>
      <c r="N19" s="25">
        <f>-N16*Hipótesis!$C$50</f>
        <v/>
      </c>
      <c r="O19" s="30">
        <f>SUM(C19:N19)</f>
        <v/>
      </c>
    </row>
    <row r="20">
      <c r="B20" s="20" t="inlineStr">
        <is>
          <t>Base activa al cierre</t>
        </is>
      </c>
      <c r="C20" s="31">
        <f>SUM(C16:C19)</f>
        <v/>
      </c>
      <c r="D20" s="31">
        <f>SUM(D16:D19)</f>
        <v/>
      </c>
      <c r="E20" s="31">
        <f>SUM(E16:E19)</f>
        <v/>
      </c>
      <c r="F20" s="31">
        <f>SUM(F16:F19)</f>
        <v/>
      </c>
      <c r="G20" s="31">
        <f>SUM(G16:G19)</f>
        <v/>
      </c>
      <c r="H20" s="31">
        <f>SUM(H16:H19)</f>
        <v/>
      </c>
      <c r="I20" s="31">
        <f>SUM(I16:I19)</f>
        <v/>
      </c>
      <c r="J20" s="31">
        <f>SUM(J16:J19)</f>
        <v/>
      </c>
      <c r="K20" s="31">
        <f>SUM(K16:K19)</f>
        <v/>
      </c>
      <c r="L20" s="31">
        <f>SUM(L16:L19)</f>
        <v/>
      </c>
      <c r="M20" s="31">
        <f>SUM(M16:M19)</f>
        <v/>
      </c>
      <c r="N20" s="31">
        <f>SUM(N16:N19)</f>
        <v/>
      </c>
      <c r="O20" s="30">
        <f>N20</f>
        <v/>
      </c>
    </row>
    <row r="21"/>
    <row r="22">
      <c r="B22" s="9" t="inlineStr">
        <is>
          <t>Plan Estándar — Segmento B</t>
        </is>
      </c>
      <c r="C22" s="10" t="n"/>
      <c r="D22" s="10" t="n"/>
      <c r="E22" s="10" t="n"/>
      <c r="F22" s="10" t="n"/>
      <c r="G22" s="10" t="n"/>
      <c r="H22" s="19" t="inlineStr">
        <is>
          <t>Las altas del Segmento B son un supuesto directo de la hoja Hipótesis: ciclo de venta de 60 a 90 días (5.3.5) y el primer cliente en la Etapa E3. En el año 1 se reparten entre los meses 9 y 12; de ahí en adelante, a lo largo de los doce.</t>
        </is>
      </c>
      <c r="I22" s="10" t="n"/>
      <c r="J22" s="10" t="n"/>
      <c r="K22" s="10" t="n"/>
      <c r="L22" s="10" t="n"/>
      <c r="M22" s="10" t="n"/>
      <c r="N22" s="10" t="n"/>
      <c r="O22" s="10" t="n"/>
    </row>
    <row r="23">
      <c r="A23" s="20" t="inlineStr">
        <is>
          <t>PLAN ESTÁNDAR</t>
        </is>
      </c>
      <c r="B23" s="13" t="inlineStr">
        <is>
          <t>Base al inicio del mes</t>
        </is>
      </c>
      <c r="C23" s="25" t="n">
        <v>0</v>
      </c>
      <c r="D23" s="25">
        <f>C26</f>
        <v/>
      </c>
      <c r="E23" s="25">
        <f>D26</f>
        <v/>
      </c>
      <c r="F23" s="25">
        <f>E26</f>
        <v/>
      </c>
      <c r="G23" s="25">
        <f>F26</f>
        <v/>
      </c>
      <c r="H23" s="25">
        <f>G26</f>
        <v/>
      </c>
      <c r="I23" s="25">
        <f>H26</f>
        <v/>
      </c>
      <c r="J23" s="25">
        <f>I26</f>
        <v/>
      </c>
      <c r="K23" s="25">
        <f>J26</f>
        <v/>
      </c>
      <c r="L23" s="25">
        <f>K26</f>
        <v/>
      </c>
      <c r="M23" s="25">
        <f>L26</f>
        <v/>
      </c>
      <c r="N23" s="25">
        <f>M26</f>
        <v/>
      </c>
    </row>
    <row r="24">
      <c r="B24" s="13" t="inlineStr">
        <is>
          <t xml:space="preserve">    Altas</t>
        </is>
      </c>
      <c r="C24" s="25">
        <f>IF(1&lt;9,0,Hipótesis!$C$47/IF(1=1,4,12))</f>
        <v/>
      </c>
      <c r="D24" s="25">
        <f>IF(2&lt;9,0,Hipótesis!$C$47/IF(1=1,4,12))</f>
        <v/>
      </c>
      <c r="E24" s="25">
        <f>IF(3&lt;9,0,Hipótesis!$C$47/IF(1=1,4,12))</f>
        <v/>
      </c>
      <c r="F24" s="25">
        <f>IF(4&lt;9,0,Hipótesis!$C$47/IF(1=1,4,12))</f>
        <v/>
      </c>
      <c r="G24" s="25">
        <f>IF(5&lt;9,0,Hipótesis!$C$47/IF(1=1,4,12))</f>
        <v/>
      </c>
      <c r="H24" s="25">
        <f>IF(6&lt;9,0,Hipótesis!$C$47/IF(1=1,4,12))</f>
        <v/>
      </c>
      <c r="I24" s="25">
        <f>IF(7&lt;9,0,Hipótesis!$C$47/IF(1=1,4,12))</f>
        <v/>
      </c>
      <c r="J24" s="25">
        <f>IF(8&lt;9,0,Hipótesis!$C$47/IF(1=1,4,12))</f>
        <v/>
      </c>
      <c r="K24" s="25">
        <f>IF(9&lt;9,0,Hipótesis!$C$47/IF(1=1,4,12))</f>
        <v/>
      </c>
      <c r="L24" s="25">
        <f>IF(10&lt;9,0,Hipótesis!$C$47/IF(1=1,4,12))</f>
        <v/>
      </c>
      <c r="M24" s="25">
        <f>IF(11&lt;9,0,Hipótesis!$C$47/IF(1=1,4,12))</f>
        <v/>
      </c>
      <c r="N24" s="25">
        <f>IF(12&lt;9,0,Hipótesis!$C$47/IF(1=1,4,12))</f>
        <v/>
      </c>
      <c r="O24" s="30">
        <f>SUM(C24:N24)</f>
        <v/>
      </c>
    </row>
    <row r="25">
      <c r="B25" s="13" t="inlineStr">
        <is>
          <t xml:space="preserve">    Bajas</t>
        </is>
      </c>
      <c r="C25" s="25">
        <f>-C23*Hipótesis!$C$50</f>
        <v/>
      </c>
      <c r="D25" s="25">
        <f>-D23*Hipótesis!$C$50</f>
        <v/>
      </c>
      <c r="E25" s="25">
        <f>-E23*Hipótesis!$C$50</f>
        <v/>
      </c>
      <c r="F25" s="25">
        <f>-F23*Hipótesis!$C$50</f>
        <v/>
      </c>
      <c r="G25" s="25">
        <f>-G23*Hipótesis!$C$50</f>
        <v/>
      </c>
      <c r="H25" s="25">
        <f>-H23*Hipótesis!$C$50</f>
        <v/>
      </c>
      <c r="I25" s="25">
        <f>-I23*Hipótesis!$C$50</f>
        <v/>
      </c>
      <c r="J25" s="25">
        <f>-J23*Hipótesis!$C$50</f>
        <v/>
      </c>
      <c r="K25" s="25">
        <f>-K23*Hipótesis!$C$50</f>
        <v/>
      </c>
      <c r="L25" s="25">
        <f>-L23*Hipótesis!$C$50</f>
        <v/>
      </c>
      <c r="M25" s="25">
        <f>-M23*Hipótesis!$C$50</f>
        <v/>
      </c>
      <c r="N25" s="25">
        <f>-N23*Hipótesis!$C$50</f>
        <v/>
      </c>
      <c r="O25" s="30">
        <f>SUM(C25:N25)</f>
        <v/>
      </c>
    </row>
    <row r="26">
      <c r="B26" s="20" t="inlineStr">
        <is>
          <t>Base activa al cierre</t>
        </is>
      </c>
      <c r="C26" s="31">
        <f>SUM(C23:C25)</f>
        <v/>
      </c>
      <c r="D26" s="31">
        <f>SUM(D23:D25)</f>
        <v/>
      </c>
      <c r="E26" s="31">
        <f>SUM(E23:E25)</f>
        <v/>
      </c>
      <c r="F26" s="31">
        <f>SUM(F23:F25)</f>
        <v/>
      </c>
      <c r="G26" s="31">
        <f>SUM(G23:G25)</f>
        <v/>
      </c>
      <c r="H26" s="31">
        <f>SUM(H23:H25)</f>
        <v/>
      </c>
      <c r="I26" s="31">
        <f>SUM(I23:I25)</f>
        <v/>
      </c>
      <c r="J26" s="31">
        <f>SUM(J23:J25)</f>
        <v/>
      </c>
      <c r="K26" s="31">
        <f>SUM(K23:K25)</f>
        <v/>
      </c>
      <c r="L26" s="31">
        <f>SUM(L23:L25)</f>
        <v/>
      </c>
      <c r="M26" s="31">
        <f>SUM(M23:M25)</f>
        <v/>
      </c>
      <c r="N26" s="31">
        <f>SUM(N23:N25)</f>
        <v/>
      </c>
      <c r="O26" s="30">
        <f>N26</f>
        <v/>
      </c>
    </row>
    <row r="27"/>
    <row r="28">
      <c r="B28" s="9" t="inlineStr">
        <is>
          <t>Plan Partner — Segmento C</t>
        </is>
      </c>
      <c r="C28" s="10" t="n"/>
      <c r="D28" s="10" t="n"/>
      <c r="E28" s="10" t="n"/>
      <c r="F28" s="10" t="n"/>
      <c r="G28" s="10" t="n"/>
      <c r="H28" s="19" t="inlineStr">
        <is>
          <t>La cartera del canal es un stock, no un flujo: cada partner gestiona una cantidad finita de clientes. Modelarlo como altas mensuales perpetuas haría crecer el canal sin techo.</t>
        </is>
      </c>
      <c r="I28" s="10" t="n"/>
      <c r="J28" s="10" t="n"/>
      <c r="K28" s="10" t="n"/>
      <c r="L28" s="10" t="n"/>
      <c r="M28" s="10" t="n"/>
      <c r="N28" s="10" t="n"/>
      <c r="O28" s="10" t="n"/>
    </row>
    <row r="29">
      <c r="A29" s="20" t="inlineStr">
        <is>
          <t>PLAN PARTNER</t>
        </is>
      </c>
      <c r="B29" s="13" t="inlineStr">
        <is>
          <t>Partners activos</t>
        </is>
      </c>
      <c r="C29" s="28">
        <f>ROUND(Hipótesis!$C$45*1/12,0)</f>
        <v/>
      </c>
      <c r="D29" s="28">
        <f>ROUND(Hipótesis!$C$45*2/12,0)</f>
        <v/>
      </c>
      <c r="E29" s="28">
        <f>ROUND(Hipótesis!$C$45*3/12,0)</f>
        <v/>
      </c>
      <c r="F29" s="28">
        <f>ROUND(Hipótesis!$C$45*4/12,0)</f>
        <v/>
      </c>
      <c r="G29" s="28">
        <f>ROUND(Hipótesis!$C$45*5/12,0)</f>
        <v/>
      </c>
      <c r="H29" s="28">
        <f>ROUND(Hipótesis!$C$45*6/12,0)</f>
        <v/>
      </c>
      <c r="I29" s="28">
        <f>ROUND(Hipótesis!$C$45*7/12,0)</f>
        <v/>
      </c>
      <c r="J29" s="28">
        <f>ROUND(Hipótesis!$C$45*8/12,0)</f>
        <v/>
      </c>
      <c r="K29" s="28">
        <f>ROUND(Hipótesis!$C$45*9/12,0)</f>
        <v/>
      </c>
      <c r="L29" s="28">
        <f>ROUND(Hipótesis!$C$45*10/12,0)</f>
        <v/>
      </c>
      <c r="M29" s="28">
        <f>ROUND(Hipótesis!$C$45*11/12,0)</f>
        <v/>
      </c>
      <c r="N29" s="28">
        <f>ROUND(Hipótesis!$C$45*12/12,0)</f>
        <v/>
      </c>
      <c r="O29" s="29">
        <f>N29</f>
        <v/>
      </c>
    </row>
    <row r="30">
      <c r="B30" s="20" t="inlineStr">
        <is>
          <t>Clientes gestionados por el canal</t>
        </is>
      </c>
      <c r="C30" s="31">
        <f>IF(1&lt;Hipótesis!$C$44,0,C29*Hipótesis!$C$46)</f>
        <v/>
      </c>
      <c r="D30" s="31">
        <f>IF(2&lt;Hipótesis!$C$44,0,D29*Hipótesis!$C$46)</f>
        <v/>
      </c>
      <c r="E30" s="31">
        <f>IF(3&lt;Hipótesis!$C$44,0,E29*Hipótesis!$C$46)</f>
        <v/>
      </c>
      <c r="F30" s="31">
        <f>IF(4&lt;Hipótesis!$C$44,0,F29*Hipótesis!$C$46)</f>
        <v/>
      </c>
      <c r="G30" s="31">
        <f>IF(5&lt;Hipótesis!$C$44,0,G29*Hipótesis!$C$46)</f>
        <v/>
      </c>
      <c r="H30" s="31">
        <f>IF(6&lt;Hipótesis!$C$44,0,H29*Hipótesis!$C$46)</f>
        <v/>
      </c>
      <c r="I30" s="31">
        <f>IF(7&lt;Hipótesis!$C$44,0,I29*Hipótesis!$C$46)</f>
        <v/>
      </c>
      <c r="J30" s="31">
        <f>IF(8&lt;Hipótesis!$C$44,0,J29*Hipótesis!$C$46)</f>
        <v/>
      </c>
      <c r="K30" s="31">
        <f>IF(9&lt;Hipótesis!$C$44,0,K29*Hipótesis!$C$46)</f>
        <v/>
      </c>
      <c r="L30" s="31">
        <f>IF(10&lt;Hipótesis!$C$44,0,L29*Hipótesis!$C$46)</f>
        <v/>
      </c>
      <c r="M30" s="31">
        <f>IF(11&lt;Hipótesis!$C$44,0,M29*Hipótesis!$C$46)</f>
        <v/>
      </c>
      <c r="N30" s="31">
        <f>IF(12&lt;Hipótesis!$C$44,0,N29*Hipótesis!$C$46)</f>
        <v/>
      </c>
      <c r="O30" s="30">
        <f>N30</f>
        <v/>
      </c>
    </row>
    <row r="31"/>
    <row r="32">
      <c r="B32" s="9" t="inlineStr">
        <is>
          <t>Consolidado</t>
        </is>
      </c>
      <c r="C32" s="10" t="n"/>
      <c r="D32" s="10" t="n"/>
      <c r="E32" s="10" t="n"/>
      <c r="F32" s="10" t="n"/>
      <c r="G32" s="10" t="n"/>
      <c r="H32" s="10" t="n"/>
      <c r="I32" s="10" t="n"/>
      <c r="J32" s="10" t="n"/>
      <c r="K32" s="10" t="n"/>
      <c r="L32" s="10" t="n"/>
      <c r="M32" s="10" t="n"/>
      <c r="N32" s="10" t="n"/>
      <c r="O32" s="10" t="n"/>
    </row>
    <row r="33">
      <c r="A33" s="20" t="inlineStr">
        <is>
          <t>TOTAL</t>
        </is>
      </c>
      <c r="B33" s="20" t="inlineStr">
        <is>
          <t>Clientes pagos activos</t>
        </is>
      </c>
      <c r="C33" s="31">
        <f>C20+C26+C30</f>
        <v/>
      </c>
      <c r="D33" s="31">
        <f>D20+D26+D30</f>
        <v/>
      </c>
      <c r="E33" s="31">
        <f>E20+E26+E30</f>
        <v/>
      </c>
      <c r="F33" s="31">
        <f>F20+F26+F30</f>
        <v/>
      </c>
      <c r="G33" s="31">
        <f>G20+G26+G30</f>
        <v/>
      </c>
      <c r="H33" s="31">
        <f>H20+H26+H30</f>
        <v/>
      </c>
      <c r="I33" s="31">
        <f>I20+I26+I30</f>
        <v/>
      </c>
      <c r="J33" s="31">
        <f>J20+J26+J30</f>
        <v/>
      </c>
      <c r="K33" s="31">
        <f>K20+K26+K30</f>
        <v/>
      </c>
      <c r="L33" s="31">
        <f>L20+L26+L30</f>
        <v/>
      </c>
      <c r="M33" s="31">
        <f>M20+M26+M30</f>
        <v/>
      </c>
      <c r="N33" s="31">
        <f>N20+N26+N30</f>
        <v/>
      </c>
      <c r="O33" s="30">
        <f>N33</f>
        <v/>
      </c>
    </row>
    <row r="34">
      <c r="B34" s="20" t="inlineStr">
        <is>
          <t>Equipos administrados</t>
        </is>
      </c>
      <c r="C34" s="18">
        <f>C20*Hipótesis!$C$51+C26*Hipótesis!$C$52+C30*Hipótesis!$C$53</f>
        <v/>
      </c>
      <c r="D34" s="18">
        <f>D20*Hipótesis!$C$51+D26*Hipótesis!$C$52+D30*Hipótesis!$C$53</f>
        <v/>
      </c>
      <c r="E34" s="18">
        <f>E20*Hipótesis!$C$51+E26*Hipótesis!$C$52+E30*Hipótesis!$C$53</f>
        <v/>
      </c>
      <c r="F34" s="18">
        <f>F20*Hipótesis!$C$51+F26*Hipótesis!$C$52+F30*Hipótesis!$C$53</f>
        <v/>
      </c>
      <c r="G34" s="18">
        <f>G20*Hipótesis!$C$51+G26*Hipótesis!$C$52+G30*Hipótesis!$C$53</f>
        <v/>
      </c>
      <c r="H34" s="18">
        <f>H20*Hipótesis!$C$51+H26*Hipótesis!$C$52+H30*Hipótesis!$C$53</f>
        <v/>
      </c>
      <c r="I34" s="18">
        <f>I20*Hipótesis!$C$51+I26*Hipótesis!$C$52+I30*Hipótesis!$C$53</f>
        <v/>
      </c>
      <c r="J34" s="18">
        <f>J20*Hipótesis!$C$51+J26*Hipótesis!$C$52+J30*Hipótesis!$C$53</f>
        <v/>
      </c>
      <c r="K34" s="18">
        <f>K20*Hipótesis!$C$51+K26*Hipótesis!$C$52+K30*Hipótesis!$C$53</f>
        <v/>
      </c>
      <c r="L34" s="18">
        <f>L20*Hipótesis!$C$51+L26*Hipótesis!$C$52+L30*Hipótesis!$C$53</f>
        <v/>
      </c>
      <c r="M34" s="18">
        <f>M20*Hipótesis!$C$51+M26*Hipótesis!$C$52+M30*Hipótesis!$C$53</f>
        <v/>
      </c>
      <c r="N34" s="18">
        <f>N20*Hipótesis!$C$51+N26*Hipótesis!$C$52+N30*Hipótesis!$C$53</f>
        <v/>
      </c>
      <c r="O34" s="29">
        <f>N34</f>
        <v/>
      </c>
    </row>
    <row r="35"/>
    <row r="36">
      <c r="B36" s="5" t="n"/>
    </row>
    <row r="37">
      <c r="C37" s="5" t="n">
        <v>2028</v>
      </c>
      <c r="D37" s="20" t="n"/>
      <c r="E37" s="20" t="n"/>
    </row>
    <row r="38">
      <c r="B38" s="13" t="n"/>
      <c r="C38" s="26" t="inlineStr">
        <is>
          <t>Ene</t>
        </is>
      </c>
      <c r="D38" s="26" t="inlineStr">
        <is>
          <t>Feb</t>
        </is>
      </c>
      <c r="E38" s="26" t="inlineStr">
        <is>
          <t>Mar</t>
        </is>
      </c>
      <c r="F38" s="26" t="inlineStr">
        <is>
          <t>Abr</t>
        </is>
      </c>
      <c r="G38" s="26" t="inlineStr">
        <is>
          <t>May</t>
        </is>
      </c>
      <c r="H38" s="26" t="inlineStr">
        <is>
          <t>Jun</t>
        </is>
      </c>
      <c r="I38" s="26" t="inlineStr">
        <is>
          <t>Jul</t>
        </is>
      </c>
      <c r="J38" s="26" t="inlineStr">
        <is>
          <t>Ago</t>
        </is>
      </c>
      <c r="K38" s="26" t="inlineStr">
        <is>
          <t>Sep</t>
        </is>
      </c>
      <c r="L38" s="26" t="inlineStr">
        <is>
          <t>Oct</t>
        </is>
      </c>
      <c r="M38" s="26" t="inlineStr">
        <is>
          <t>Nov</t>
        </is>
      </c>
      <c r="N38" s="26" t="inlineStr">
        <is>
          <t>Dic</t>
        </is>
      </c>
      <c r="O38" s="27" t="inlineStr">
        <is>
          <t>Total 2028</t>
        </is>
      </c>
    </row>
    <row r="39">
      <c r="B39" s="13" t="n"/>
      <c r="C39" s="31" t="n"/>
      <c r="D39" s="32" t="n"/>
      <c r="E39" s="16" t="n"/>
    </row>
    <row r="40">
      <c r="B40" s="9" t="inlineStr">
        <is>
          <t>Embudo comercial</t>
        </is>
      </c>
      <c r="C40" s="33" t="n"/>
      <c r="D40" s="34" t="n"/>
      <c r="E40" s="35" t="n"/>
      <c r="F40" s="10" t="n"/>
      <c r="G40" s="10" t="n"/>
      <c r="H40" s="10" t="n"/>
      <c r="I40" s="10" t="n"/>
      <c r="J40" s="10" t="n"/>
      <c r="K40" s="10" t="n"/>
      <c r="L40" s="10" t="n"/>
      <c r="M40" s="10" t="n"/>
      <c r="N40" s="10" t="n"/>
      <c r="O40" s="10" t="n"/>
    </row>
    <row r="41">
      <c r="A41" s="20" t="inlineStr">
        <is>
          <t>EMBUDO</t>
        </is>
      </c>
      <c r="B41" s="13" t="inlineStr">
        <is>
          <t>Visitas web</t>
        </is>
      </c>
      <c r="C41" s="28">
        <f>N11*(1+Hipótesis!$D$36)</f>
        <v/>
      </c>
      <c r="D41" s="28">
        <f>C41*(1+Hipótesis!$D$36)</f>
        <v/>
      </c>
      <c r="E41" s="28">
        <f>D41*(1+Hipótesis!$D$36)</f>
        <v/>
      </c>
      <c r="F41" s="28">
        <f>E41*(1+Hipótesis!$D$36)</f>
        <v/>
      </c>
      <c r="G41" s="28">
        <f>F41*(1+Hipótesis!$D$36)</f>
        <v/>
      </c>
      <c r="H41" s="28">
        <f>G41*(1+Hipótesis!$D$36)</f>
        <v/>
      </c>
      <c r="I41" s="28">
        <f>H41*(1+Hipótesis!$D$36)</f>
        <v/>
      </c>
      <c r="J41" s="28">
        <f>I41*(1+Hipótesis!$D$36)</f>
        <v/>
      </c>
      <c r="K41" s="28">
        <f>J41*(1+Hipótesis!$D$36)</f>
        <v/>
      </c>
      <c r="L41" s="28">
        <f>K41*(1+Hipótesis!$D$36)</f>
        <v/>
      </c>
      <c r="M41" s="28">
        <f>L41*(1+Hipótesis!$D$36)</f>
        <v/>
      </c>
      <c r="N41" s="28">
        <f>M41*(1+Hipótesis!$D$36)</f>
        <v/>
      </c>
      <c r="O41" s="29">
        <f>SUM(C41:N41)</f>
        <v/>
      </c>
    </row>
    <row r="42">
      <c r="B42" s="13" t="inlineStr">
        <is>
          <t xml:space="preserve">    Pruebas gratuitas iniciadas</t>
        </is>
      </c>
      <c r="C42" s="25">
        <f>C41*Hipótesis!$C$37</f>
        <v/>
      </c>
      <c r="D42" s="25">
        <f>D41*Hipótesis!$C$37</f>
        <v/>
      </c>
      <c r="E42" s="25">
        <f>E41*Hipótesis!$C$37</f>
        <v/>
      </c>
      <c r="F42" s="25">
        <f>F41*Hipótesis!$C$37</f>
        <v/>
      </c>
      <c r="G42" s="25">
        <f>G41*Hipótesis!$C$37</f>
        <v/>
      </c>
      <c r="H42" s="25">
        <f>H41*Hipótesis!$C$37</f>
        <v/>
      </c>
      <c r="I42" s="25">
        <f>I41*Hipótesis!$C$37</f>
        <v/>
      </c>
      <c r="J42" s="25">
        <f>J41*Hipótesis!$C$37</f>
        <v/>
      </c>
      <c r="K42" s="25">
        <f>K41*Hipótesis!$C$37</f>
        <v/>
      </c>
      <c r="L42" s="25">
        <f>L41*Hipótesis!$C$37</f>
        <v/>
      </c>
      <c r="M42" s="25">
        <f>M41*Hipótesis!$C$37</f>
        <v/>
      </c>
      <c r="N42" s="25">
        <f>N41*Hipótesis!$C$37</f>
        <v/>
      </c>
      <c r="O42" s="30">
        <f>SUM(C42:N42)</f>
        <v/>
      </c>
    </row>
    <row r="43">
      <c r="B43" s="20" t="inlineStr">
        <is>
          <t xml:space="preserve">    Clientes nuevos por embudo directo</t>
        </is>
      </c>
      <c r="C43" s="31">
        <f>IF(13&lt;Hipótesis!$C$44,0,C42*Hipótesis!$C$38)</f>
        <v/>
      </c>
      <c r="D43" s="31">
        <f>IF(14&lt;Hipótesis!$C$44,0,D42*Hipótesis!$C$38)</f>
        <v/>
      </c>
      <c r="E43" s="31">
        <f>IF(15&lt;Hipótesis!$C$44,0,E42*Hipótesis!$C$38)</f>
        <v/>
      </c>
      <c r="F43" s="31">
        <f>IF(16&lt;Hipótesis!$C$44,0,F42*Hipótesis!$C$38)</f>
        <v/>
      </c>
      <c r="G43" s="31">
        <f>IF(17&lt;Hipótesis!$C$44,0,G42*Hipótesis!$C$38)</f>
        <v/>
      </c>
      <c r="H43" s="31">
        <f>IF(18&lt;Hipótesis!$C$44,0,H42*Hipótesis!$C$38)</f>
        <v/>
      </c>
      <c r="I43" s="31">
        <f>IF(19&lt;Hipótesis!$C$44,0,I42*Hipótesis!$C$38)</f>
        <v/>
      </c>
      <c r="J43" s="31">
        <f>IF(20&lt;Hipótesis!$C$44,0,J42*Hipótesis!$C$38)</f>
        <v/>
      </c>
      <c r="K43" s="31">
        <f>IF(21&lt;Hipótesis!$C$44,0,K42*Hipótesis!$C$38)</f>
        <v/>
      </c>
      <c r="L43" s="31">
        <f>IF(22&lt;Hipótesis!$C$44,0,L42*Hipótesis!$C$38)</f>
        <v/>
      </c>
      <c r="M43" s="31">
        <f>IF(23&lt;Hipótesis!$C$44,0,M42*Hipótesis!$C$38)</f>
        <v/>
      </c>
      <c r="N43" s="31">
        <f>IF(24&lt;Hipótesis!$C$44,0,N42*Hipótesis!$C$38)</f>
        <v/>
      </c>
      <c r="O43" s="30">
        <f>SUM(C43:N43)</f>
        <v/>
      </c>
    </row>
    <row r="44"/>
    <row r="45">
      <c r="B45" s="9" t="inlineStr">
        <is>
          <t>Plan Inicial — Segmento A</t>
        </is>
      </c>
      <c r="C45" s="10" t="n"/>
      <c r="D45" s="10" t="n"/>
      <c r="E45" s="10" t="n"/>
      <c r="F45" s="10" t="n"/>
      <c r="G45" s="10" t="n"/>
      <c r="H45" s="10" t="n"/>
      <c r="I45" s="10" t="n"/>
      <c r="J45" s="10" t="n"/>
      <c r="K45" s="10" t="n"/>
      <c r="L45" s="10" t="n"/>
      <c r="M45" s="10" t="n"/>
      <c r="N45" s="10" t="n"/>
      <c r="O45" s="10" t="n"/>
    </row>
    <row r="46">
      <c r="A46" s="20" t="inlineStr">
        <is>
          <t>PLAN INICIAL</t>
        </is>
      </c>
      <c r="B46" s="13" t="inlineStr">
        <is>
          <t>Base al inicio del mes</t>
        </is>
      </c>
      <c r="C46" s="25">
        <f>N20</f>
        <v/>
      </c>
      <c r="D46" s="25">
        <f>C50</f>
        <v/>
      </c>
      <c r="E46" s="25">
        <f>D50</f>
        <v/>
      </c>
      <c r="F46" s="25">
        <f>E50</f>
        <v/>
      </c>
      <c r="G46" s="25">
        <f>F50</f>
        <v/>
      </c>
      <c r="H46" s="25">
        <f>G50</f>
        <v/>
      </c>
      <c r="I46" s="25">
        <f>H50</f>
        <v/>
      </c>
      <c r="J46" s="25">
        <f>I50</f>
        <v/>
      </c>
      <c r="K46" s="25">
        <f>J50</f>
        <v/>
      </c>
      <c r="L46" s="25">
        <f>K50</f>
        <v/>
      </c>
      <c r="M46" s="25">
        <f>L50</f>
        <v/>
      </c>
      <c r="N46" s="25">
        <f>M50</f>
        <v/>
      </c>
    </row>
    <row r="47">
      <c r="B47" s="13" t="inlineStr">
        <is>
          <t xml:space="preserve">    Altas por embudo directo</t>
        </is>
      </c>
      <c r="C47" s="25">
        <f>C43</f>
        <v/>
      </c>
      <c r="D47" s="25">
        <f>D43</f>
        <v/>
      </c>
      <c r="E47" s="25">
        <f>E43</f>
        <v/>
      </c>
      <c r="F47" s="25">
        <f>F43</f>
        <v/>
      </c>
      <c r="G47" s="25">
        <f>G43</f>
        <v/>
      </c>
      <c r="H47" s="25">
        <f>H43</f>
        <v/>
      </c>
      <c r="I47" s="25">
        <f>I43</f>
        <v/>
      </c>
      <c r="J47" s="25">
        <f>J43</f>
        <v/>
      </c>
      <c r="K47" s="25">
        <f>K43</f>
        <v/>
      </c>
      <c r="L47" s="25">
        <f>L43</f>
        <v/>
      </c>
      <c r="M47" s="25">
        <f>M43</f>
        <v/>
      </c>
      <c r="N47" s="25">
        <f>N43</f>
        <v/>
      </c>
      <c r="O47" s="30">
        <f>SUM(C47:N47)</f>
        <v/>
      </c>
    </row>
    <row r="48">
      <c r="B48" s="13" t="inlineStr">
        <is>
          <t xml:space="preserve">    Altas por conversión de pilotos</t>
        </is>
      </c>
      <c r="C48" s="25">
        <f>IF(AND(13=Hipótesis!$C$44,2=1),Hipótesis!$C$42*Hipótesis!$C$43,0)</f>
        <v/>
      </c>
      <c r="D48" s="25">
        <f>IF(AND(14=Hipótesis!$C$44,2=1),Hipótesis!$C$42*Hipótesis!$C$43,0)</f>
        <v/>
      </c>
      <c r="E48" s="25">
        <f>IF(AND(15=Hipótesis!$C$44,2=1),Hipótesis!$C$42*Hipótesis!$C$43,0)</f>
        <v/>
      </c>
      <c r="F48" s="25">
        <f>IF(AND(16=Hipótesis!$C$44,2=1),Hipótesis!$C$42*Hipótesis!$C$43,0)</f>
        <v/>
      </c>
      <c r="G48" s="25">
        <f>IF(AND(17=Hipótesis!$C$44,2=1),Hipótesis!$C$42*Hipótesis!$C$43,0)</f>
        <v/>
      </c>
      <c r="H48" s="25">
        <f>IF(AND(18=Hipótesis!$C$44,2=1),Hipótesis!$C$42*Hipótesis!$C$43,0)</f>
        <v/>
      </c>
      <c r="I48" s="25">
        <f>IF(AND(19=Hipótesis!$C$44,2=1),Hipótesis!$C$42*Hipótesis!$C$43,0)</f>
        <v/>
      </c>
      <c r="J48" s="25">
        <f>IF(AND(20=Hipótesis!$C$44,2=1),Hipótesis!$C$42*Hipótesis!$C$43,0)</f>
        <v/>
      </c>
      <c r="K48" s="25">
        <f>IF(AND(21=Hipótesis!$C$44,2=1),Hipótesis!$C$42*Hipótesis!$C$43,0)</f>
        <v/>
      </c>
      <c r="L48" s="25">
        <f>IF(AND(22=Hipótesis!$C$44,2=1),Hipótesis!$C$42*Hipótesis!$C$43,0)</f>
        <v/>
      </c>
      <c r="M48" s="25">
        <f>IF(AND(23=Hipótesis!$C$44,2=1),Hipótesis!$C$42*Hipótesis!$C$43,0)</f>
        <v/>
      </c>
      <c r="N48" s="25">
        <f>IF(AND(24=Hipótesis!$C$44,2=1),Hipótesis!$C$42*Hipótesis!$C$43,0)</f>
        <v/>
      </c>
      <c r="O48" s="30">
        <f>SUM(C48:N48)</f>
        <v/>
      </c>
    </row>
    <row r="49">
      <c r="B49" s="13" t="inlineStr">
        <is>
          <t xml:space="preserve">    Bajas</t>
        </is>
      </c>
      <c r="C49" s="25">
        <f>-C46*Hipótesis!$D$50</f>
        <v/>
      </c>
      <c r="D49" s="25">
        <f>-D46*Hipótesis!$D$50</f>
        <v/>
      </c>
      <c r="E49" s="25">
        <f>-E46*Hipótesis!$D$50</f>
        <v/>
      </c>
      <c r="F49" s="25">
        <f>-F46*Hipótesis!$D$50</f>
        <v/>
      </c>
      <c r="G49" s="25">
        <f>-G46*Hipótesis!$D$50</f>
        <v/>
      </c>
      <c r="H49" s="25">
        <f>-H46*Hipótesis!$D$50</f>
        <v/>
      </c>
      <c r="I49" s="25">
        <f>-I46*Hipótesis!$D$50</f>
        <v/>
      </c>
      <c r="J49" s="25">
        <f>-J46*Hipótesis!$D$50</f>
        <v/>
      </c>
      <c r="K49" s="25">
        <f>-K46*Hipótesis!$D$50</f>
        <v/>
      </c>
      <c r="L49" s="25">
        <f>-L46*Hipótesis!$D$50</f>
        <v/>
      </c>
      <c r="M49" s="25">
        <f>-M46*Hipótesis!$D$50</f>
        <v/>
      </c>
      <c r="N49" s="25">
        <f>-N46*Hipótesis!$D$50</f>
        <v/>
      </c>
      <c r="O49" s="30">
        <f>SUM(C49:N49)</f>
        <v/>
      </c>
    </row>
    <row r="50">
      <c r="B50" s="20" t="inlineStr">
        <is>
          <t>Base activa al cierre</t>
        </is>
      </c>
      <c r="C50" s="31">
        <f>SUM(C46:C49)</f>
        <v/>
      </c>
      <c r="D50" s="31">
        <f>SUM(D46:D49)</f>
        <v/>
      </c>
      <c r="E50" s="31">
        <f>SUM(E46:E49)</f>
        <v/>
      </c>
      <c r="F50" s="31">
        <f>SUM(F46:F49)</f>
        <v/>
      </c>
      <c r="G50" s="31">
        <f>SUM(G46:G49)</f>
        <v/>
      </c>
      <c r="H50" s="31">
        <f>SUM(H46:H49)</f>
        <v/>
      </c>
      <c r="I50" s="31">
        <f>SUM(I46:I49)</f>
        <v/>
      </c>
      <c r="J50" s="31">
        <f>SUM(J46:J49)</f>
        <v/>
      </c>
      <c r="K50" s="31">
        <f>SUM(K46:K49)</f>
        <v/>
      </c>
      <c r="L50" s="31">
        <f>SUM(L46:L49)</f>
        <v/>
      </c>
      <c r="M50" s="31">
        <f>SUM(M46:M49)</f>
        <v/>
      </c>
      <c r="N50" s="31">
        <f>SUM(N46:N49)</f>
        <v/>
      </c>
      <c r="O50" s="30">
        <f>N50</f>
        <v/>
      </c>
    </row>
    <row r="51"/>
    <row r="52">
      <c r="B52" s="9" t="inlineStr">
        <is>
          <t>Plan Estándar — Segmento B</t>
        </is>
      </c>
      <c r="C52" s="10" t="n"/>
      <c r="D52" s="10" t="n"/>
      <c r="E52" s="10" t="n"/>
      <c r="F52" s="10" t="n"/>
      <c r="G52" s="10" t="n"/>
      <c r="H52" s="10" t="n"/>
      <c r="I52" s="10" t="n"/>
      <c r="J52" s="10" t="n"/>
      <c r="K52" s="10" t="n"/>
      <c r="L52" s="10" t="n"/>
      <c r="M52" s="10" t="n"/>
      <c r="N52" s="10" t="n"/>
      <c r="O52" s="10" t="n"/>
    </row>
    <row r="53">
      <c r="A53" s="20" t="inlineStr">
        <is>
          <t>PLAN ESTÁNDAR</t>
        </is>
      </c>
      <c r="B53" s="13" t="inlineStr">
        <is>
          <t>Base al inicio del mes</t>
        </is>
      </c>
      <c r="C53" s="25">
        <f>N26</f>
        <v/>
      </c>
      <c r="D53" s="25">
        <f>C56</f>
        <v/>
      </c>
      <c r="E53" s="25">
        <f>D56</f>
        <v/>
      </c>
      <c r="F53" s="25">
        <f>E56</f>
        <v/>
      </c>
      <c r="G53" s="25">
        <f>F56</f>
        <v/>
      </c>
      <c r="H53" s="25">
        <f>G56</f>
        <v/>
      </c>
      <c r="I53" s="25">
        <f>H56</f>
        <v/>
      </c>
      <c r="J53" s="25">
        <f>I56</f>
        <v/>
      </c>
      <c r="K53" s="25">
        <f>J56</f>
        <v/>
      </c>
      <c r="L53" s="25">
        <f>K56</f>
        <v/>
      </c>
      <c r="M53" s="25">
        <f>L56</f>
        <v/>
      </c>
      <c r="N53" s="25">
        <f>M56</f>
        <v/>
      </c>
    </row>
    <row r="54">
      <c r="B54" s="13" t="inlineStr">
        <is>
          <t xml:space="preserve">    Altas</t>
        </is>
      </c>
      <c r="C54" s="25">
        <f>IF(13&lt;9,0,Hipótesis!$D$47/IF(2=1,4,12))</f>
        <v/>
      </c>
      <c r="D54" s="25">
        <f>IF(14&lt;9,0,Hipótesis!$D$47/IF(2=1,4,12))</f>
        <v/>
      </c>
      <c r="E54" s="25">
        <f>IF(15&lt;9,0,Hipótesis!$D$47/IF(2=1,4,12))</f>
        <v/>
      </c>
      <c r="F54" s="25">
        <f>IF(16&lt;9,0,Hipótesis!$D$47/IF(2=1,4,12))</f>
        <v/>
      </c>
      <c r="G54" s="25">
        <f>IF(17&lt;9,0,Hipótesis!$D$47/IF(2=1,4,12))</f>
        <v/>
      </c>
      <c r="H54" s="25">
        <f>IF(18&lt;9,0,Hipótesis!$D$47/IF(2=1,4,12))</f>
        <v/>
      </c>
      <c r="I54" s="25">
        <f>IF(19&lt;9,0,Hipótesis!$D$47/IF(2=1,4,12))</f>
        <v/>
      </c>
      <c r="J54" s="25">
        <f>IF(20&lt;9,0,Hipótesis!$D$47/IF(2=1,4,12))</f>
        <v/>
      </c>
      <c r="K54" s="25">
        <f>IF(21&lt;9,0,Hipótesis!$D$47/IF(2=1,4,12))</f>
        <v/>
      </c>
      <c r="L54" s="25">
        <f>IF(22&lt;9,0,Hipótesis!$D$47/IF(2=1,4,12))</f>
        <v/>
      </c>
      <c r="M54" s="25">
        <f>IF(23&lt;9,0,Hipótesis!$D$47/IF(2=1,4,12))</f>
        <v/>
      </c>
      <c r="N54" s="25">
        <f>IF(24&lt;9,0,Hipótesis!$D$47/IF(2=1,4,12))</f>
        <v/>
      </c>
      <c r="O54" s="30">
        <f>SUM(C54:N54)</f>
        <v/>
      </c>
    </row>
    <row r="55">
      <c r="B55" s="13" t="inlineStr">
        <is>
          <t xml:space="preserve">    Bajas</t>
        </is>
      </c>
      <c r="C55" s="25">
        <f>-C53*Hipótesis!$D$50</f>
        <v/>
      </c>
      <c r="D55" s="25">
        <f>-D53*Hipótesis!$D$50</f>
        <v/>
      </c>
      <c r="E55" s="25">
        <f>-E53*Hipótesis!$D$50</f>
        <v/>
      </c>
      <c r="F55" s="25">
        <f>-F53*Hipótesis!$D$50</f>
        <v/>
      </c>
      <c r="G55" s="25">
        <f>-G53*Hipótesis!$D$50</f>
        <v/>
      </c>
      <c r="H55" s="25">
        <f>-H53*Hipótesis!$D$50</f>
        <v/>
      </c>
      <c r="I55" s="25">
        <f>-I53*Hipótesis!$D$50</f>
        <v/>
      </c>
      <c r="J55" s="25">
        <f>-J53*Hipótesis!$D$50</f>
        <v/>
      </c>
      <c r="K55" s="25">
        <f>-K53*Hipótesis!$D$50</f>
        <v/>
      </c>
      <c r="L55" s="25">
        <f>-L53*Hipótesis!$D$50</f>
        <v/>
      </c>
      <c r="M55" s="25">
        <f>-M53*Hipótesis!$D$50</f>
        <v/>
      </c>
      <c r="N55" s="25">
        <f>-N53*Hipótesis!$D$50</f>
        <v/>
      </c>
      <c r="O55" s="30">
        <f>SUM(C55:N55)</f>
        <v/>
      </c>
    </row>
    <row r="56">
      <c r="B56" s="20" t="inlineStr">
        <is>
          <t>Base activa al cierre</t>
        </is>
      </c>
      <c r="C56" s="31">
        <f>SUM(C53:C55)</f>
        <v/>
      </c>
      <c r="D56" s="31">
        <f>SUM(D53:D55)</f>
        <v/>
      </c>
      <c r="E56" s="31">
        <f>SUM(E53:E55)</f>
        <v/>
      </c>
      <c r="F56" s="31">
        <f>SUM(F53:F55)</f>
        <v/>
      </c>
      <c r="G56" s="31">
        <f>SUM(G53:G55)</f>
        <v/>
      </c>
      <c r="H56" s="31">
        <f>SUM(H53:H55)</f>
        <v/>
      </c>
      <c r="I56" s="31">
        <f>SUM(I53:I55)</f>
        <v/>
      </c>
      <c r="J56" s="31">
        <f>SUM(J53:J55)</f>
        <v/>
      </c>
      <c r="K56" s="31">
        <f>SUM(K53:K55)</f>
        <v/>
      </c>
      <c r="L56" s="31">
        <f>SUM(L53:L55)</f>
        <v/>
      </c>
      <c r="M56" s="31">
        <f>SUM(M53:M55)</f>
        <v/>
      </c>
      <c r="N56" s="31">
        <f>SUM(N53:N55)</f>
        <v/>
      </c>
      <c r="O56" s="30">
        <f>N56</f>
        <v/>
      </c>
    </row>
    <row r="57"/>
    <row r="58">
      <c r="B58" s="9" t="inlineStr">
        <is>
          <t>Plan Partner — Segmento C</t>
        </is>
      </c>
      <c r="C58" s="10" t="n"/>
      <c r="D58" s="10" t="n"/>
      <c r="E58" s="10" t="n"/>
      <c r="F58" s="10" t="n"/>
      <c r="G58" s="10" t="n"/>
      <c r="H58" s="10" t="n"/>
      <c r="I58" s="10" t="n"/>
      <c r="J58" s="10" t="n"/>
      <c r="K58" s="10" t="n"/>
      <c r="L58" s="10" t="n"/>
      <c r="M58" s="10" t="n"/>
      <c r="N58" s="10" t="n"/>
      <c r="O58" s="10" t="n"/>
    </row>
    <row r="59">
      <c r="A59" s="20" t="inlineStr">
        <is>
          <t>PLAN PARTNER</t>
        </is>
      </c>
      <c r="B59" s="13" t="inlineStr">
        <is>
          <t>Partners activos</t>
        </is>
      </c>
      <c r="C59" s="28">
        <f>ROUND(Hipótesis!$C$45+(Hipótesis!$D$45-Hipótesis!$C$45)*1/12,0)</f>
        <v/>
      </c>
      <c r="D59" s="28">
        <f>ROUND(Hipótesis!$C$45+(Hipótesis!$D$45-Hipótesis!$C$45)*2/12,0)</f>
        <v/>
      </c>
      <c r="E59" s="28">
        <f>ROUND(Hipótesis!$C$45+(Hipótesis!$D$45-Hipótesis!$C$45)*3/12,0)</f>
        <v/>
      </c>
      <c r="F59" s="28">
        <f>ROUND(Hipótesis!$C$45+(Hipótesis!$D$45-Hipótesis!$C$45)*4/12,0)</f>
        <v/>
      </c>
      <c r="G59" s="28">
        <f>ROUND(Hipótesis!$C$45+(Hipótesis!$D$45-Hipótesis!$C$45)*5/12,0)</f>
        <v/>
      </c>
      <c r="H59" s="28">
        <f>ROUND(Hipótesis!$C$45+(Hipótesis!$D$45-Hipótesis!$C$45)*6/12,0)</f>
        <v/>
      </c>
      <c r="I59" s="28">
        <f>ROUND(Hipótesis!$C$45+(Hipótesis!$D$45-Hipótesis!$C$45)*7/12,0)</f>
        <v/>
      </c>
      <c r="J59" s="28">
        <f>ROUND(Hipótesis!$C$45+(Hipótesis!$D$45-Hipótesis!$C$45)*8/12,0)</f>
        <v/>
      </c>
      <c r="K59" s="28">
        <f>ROUND(Hipótesis!$C$45+(Hipótesis!$D$45-Hipótesis!$C$45)*9/12,0)</f>
        <v/>
      </c>
      <c r="L59" s="28">
        <f>ROUND(Hipótesis!$C$45+(Hipótesis!$D$45-Hipótesis!$C$45)*10/12,0)</f>
        <v/>
      </c>
      <c r="M59" s="28">
        <f>ROUND(Hipótesis!$C$45+(Hipótesis!$D$45-Hipótesis!$C$45)*11/12,0)</f>
        <v/>
      </c>
      <c r="N59" s="28">
        <f>ROUND(Hipótesis!$C$45+(Hipótesis!$D$45-Hipótesis!$C$45)*12/12,0)</f>
        <v/>
      </c>
      <c r="O59" s="29">
        <f>N59</f>
        <v/>
      </c>
    </row>
    <row r="60">
      <c r="B60" s="20" t="inlineStr">
        <is>
          <t>Clientes gestionados por el canal</t>
        </is>
      </c>
      <c r="C60" s="31">
        <f>IF(13&lt;Hipótesis!$C$44,0,C59*Hipótesis!$D$46)</f>
        <v/>
      </c>
      <c r="D60" s="31">
        <f>IF(14&lt;Hipótesis!$C$44,0,D59*Hipótesis!$D$46)</f>
        <v/>
      </c>
      <c r="E60" s="31">
        <f>IF(15&lt;Hipótesis!$C$44,0,E59*Hipótesis!$D$46)</f>
        <v/>
      </c>
      <c r="F60" s="31">
        <f>IF(16&lt;Hipótesis!$C$44,0,F59*Hipótesis!$D$46)</f>
        <v/>
      </c>
      <c r="G60" s="31">
        <f>IF(17&lt;Hipótesis!$C$44,0,G59*Hipótesis!$D$46)</f>
        <v/>
      </c>
      <c r="H60" s="31">
        <f>IF(18&lt;Hipótesis!$C$44,0,H59*Hipótesis!$D$46)</f>
        <v/>
      </c>
      <c r="I60" s="31">
        <f>IF(19&lt;Hipótesis!$C$44,0,I59*Hipótesis!$D$46)</f>
        <v/>
      </c>
      <c r="J60" s="31">
        <f>IF(20&lt;Hipótesis!$C$44,0,J59*Hipótesis!$D$46)</f>
        <v/>
      </c>
      <c r="K60" s="31">
        <f>IF(21&lt;Hipótesis!$C$44,0,K59*Hipótesis!$D$46)</f>
        <v/>
      </c>
      <c r="L60" s="31">
        <f>IF(22&lt;Hipótesis!$C$44,0,L59*Hipótesis!$D$46)</f>
        <v/>
      </c>
      <c r="M60" s="31">
        <f>IF(23&lt;Hipótesis!$C$44,0,M59*Hipótesis!$D$46)</f>
        <v/>
      </c>
      <c r="N60" s="31">
        <f>IF(24&lt;Hipótesis!$C$44,0,N59*Hipótesis!$D$46)</f>
        <v/>
      </c>
      <c r="O60" s="30">
        <f>N60</f>
        <v/>
      </c>
    </row>
    <row r="61"/>
    <row r="62">
      <c r="B62" s="9" t="inlineStr">
        <is>
          <t>Consolidado</t>
        </is>
      </c>
      <c r="C62" s="10" t="n"/>
      <c r="D62" s="10" t="n"/>
      <c r="E62" s="10" t="n"/>
      <c r="F62" s="10" t="n"/>
      <c r="G62" s="10" t="n"/>
      <c r="H62" s="10" t="n"/>
      <c r="I62" s="10" t="n"/>
      <c r="J62" s="10" t="n"/>
      <c r="K62" s="10" t="n"/>
      <c r="L62" s="10" t="n"/>
      <c r="M62" s="10" t="n"/>
      <c r="N62" s="10" t="n"/>
      <c r="O62" s="10" t="n"/>
    </row>
    <row r="63">
      <c r="A63" s="20" t="inlineStr">
        <is>
          <t>TOTAL</t>
        </is>
      </c>
      <c r="B63" s="20" t="inlineStr">
        <is>
          <t>Clientes pagos activos</t>
        </is>
      </c>
      <c r="C63" s="31">
        <f>C50+C56+C60</f>
        <v/>
      </c>
      <c r="D63" s="31">
        <f>D50+D56+D60</f>
        <v/>
      </c>
      <c r="E63" s="31">
        <f>E50+E56+E60</f>
        <v/>
      </c>
      <c r="F63" s="31">
        <f>F50+F56+F60</f>
        <v/>
      </c>
      <c r="G63" s="31">
        <f>G50+G56+G60</f>
        <v/>
      </c>
      <c r="H63" s="31">
        <f>H50+H56+H60</f>
        <v/>
      </c>
      <c r="I63" s="31">
        <f>I50+I56+I60</f>
        <v/>
      </c>
      <c r="J63" s="31">
        <f>J50+J56+J60</f>
        <v/>
      </c>
      <c r="K63" s="31">
        <f>K50+K56+K60</f>
        <v/>
      </c>
      <c r="L63" s="31">
        <f>L50+L56+L60</f>
        <v/>
      </c>
      <c r="M63" s="31">
        <f>M50+M56+M60</f>
        <v/>
      </c>
      <c r="N63" s="31">
        <f>N50+N56+N60</f>
        <v/>
      </c>
      <c r="O63" s="30">
        <f>N63</f>
        <v/>
      </c>
    </row>
    <row r="64">
      <c r="B64" s="20" t="inlineStr">
        <is>
          <t>Equipos administrados</t>
        </is>
      </c>
      <c r="C64" s="18">
        <f>C50*Hipótesis!$D$51+C56*Hipótesis!$D$52+C60*Hipótesis!$D$53</f>
        <v/>
      </c>
      <c r="D64" s="18">
        <f>D50*Hipótesis!$D$51+D56*Hipótesis!$D$52+D60*Hipótesis!$D$53</f>
        <v/>
      </c>
      <c r="E64" s="18">
        <f>E50*Hipótesis!$D$51+E56*Hipótesis!$D$52+E60*Hipótesis!$D$53</f>
        <v/>
      </c>
      <c r="F64" s="18">
        <f>F50*Hipótesis!$D$51+F56*Hipótesis!$D$52+F60*Hipótesis!$D$53</f>
        <v/>
      </c>
      <c r="G64" s="18">
        <f>G50*Hipótesis!$D$51+G56*Hipótesis!$D$52+G60*Hipótesis!$D$53</f>
        <v/>
      </c>
      <c r="H64" s="18">
        <f>H50*Hipótesis!$D$51+H56*Hipótesis!$D$52+H60*Hipótesis!$D$53</f>
        <v/>
      </c>
      <c r="I64" s="18">
        <f>I50*Hipótesis!$D$51+I56*Hipótesis!$D$52+I60*Hipótesis!$D$53</f>
        <v/>
      </c>
      <c r="J64" s="18">
        <f>J50*Hipótesis!$D$51+J56*Hipótesis!$D$52+J60*Hipótesis!$D$53</f>
        <v/>
      </c>
      <c r="K64" s="18">
        <f>K50*Hipótesis!$D$51+K56*Hipótesis!$D$52+K60*Hipótesis!$D$53</f>
        <v/>
      </c>
      <c r="L64" s="18">
        <f>L50*Hipótesis!$D$51+L56*Hipótesis!$D$52+L60*Hipótesis!$D$53</f>
        <v/>
      </c>
      <c r="M64" s="18">
        <f>M50*Hipótesis!$D$51+M56*Hipótesis!$D$52+M60*Hipótesis!$D$53</f>
        <v/>
      </c>
      <c r="N64" s="18">
        <f>N50*Hipótesis!$D$51+N56*Hipótesis!$D$52+N60*Hipótesis!$D$53</f>
        <v/>
      </c>
      <c r="O64" s="29">
        <f>N64</f>
        <v/>
      </c>
    </row>
    <row r="65"/>
    <row r="66"/>
    <row r="67">
      <c r="C67" s="5" t="n">
        <v>2029</v>
      </c>
    </row>
    <row r="68">
      <c r="C68" s="26" t="inlineStr">
        <is>
          <t>Ene</t>
        </is>
      </c>
      <c r="D68" s="26" t="inlineStr">
        <is>
          <t>Feb</t>
        </is>
      </c>
      <c r="E68" s="26" t="inlineStr">
        <is>
          <t>Mar</t>
        </is>
      </c>
      <c r="F68" s="26" t="inlineStr">
        <is>
          <t>Abr</t>
        </is>
      </c>
      <c r="G68" s="26" t="inlineStr">
        <is>
          <t>May</t>
        </is>
      </c>
      <c r="H68" s="26" t="inlineStr">
        <is>
          <t>Jun</t>
        </is>
      </c>
      <c r="I68" s="26" t="inlineStr">
        <is>
          <t>Jul</t>
        </is>
      </c>
      <c r="J68" s="26" t="inlineStr">
        <is>
          <t>Ago</t>
        </is>
      </c>
      <c r="K68" s="26" t="inlineStr">
        <is>
          <t>Sep</t>
        </is>
      </c>
      <c r="L68" s="26" t="inlineStr">
        <is>
          <t>Oct</t>
        </is>
      </c>
      <c r="M68" s="26" t="inlineStr">
        <is>
          <t>Nov</t>
        </is>
      </c>
      <c r="N68" s="26" t="inlineStr">
        <is>
          <t>Dic</t>
        </is>
      </c>
      <c r="O68" s="27" t="inlineStr">
        <is>
          <t>Total 2029</t>
        </is>
      </c>
    </row>
    <row r="69"/>
    <row r="70">
      <c r="B70" s="9" t="inlineStr">
        <is>
          <t>Embudo comercial</t>
        </is>
      </c>
      <c r="C70" s="10" t="n"/>
      <c r="D70" s="10" t="n"/>
      <c r="E70" s="10" t="n"/>
      <c r="F70" s="10" t="n"/>
      <c r="G70" s="10" t="n"/>
      <c r="H70" s="10" t="n"/>
      <c r="I70" s="10" t="n"/>
      <c r="J70" s="10" t="n"/>
      <c r="K70" s="10" t="n"/>
      <c r="L70" s="10" t="n"/>
      <c r="M70" s="10" t="n"/>
      <c r="N70" s="10" t="n"/>
      <c r="O70" s="10" t="n"/>
    </row>
    <row r="71">
      <c r="A71" s="20" t="inlineStr">
        <is>
          <t>EMBUDO</t>
        </is>
      </c>
      <c r="B71" s="13" t="inlineStr">
        <is>
          <t>Visitas web</t>
        </is>
      </c>
      <c r="C71" s="28">
        <f>N41*(1+Hipótesis!$E$36)</f>
        <v/>
      </c>
      <c r="D71" s="28">
        <f>C71*(1+Hipótesis!$E$36)</f>
        <v/>
      </c>
      <c r="E71" s="28">
        <f>D71*(1+Hipótesis!$E$36)</f>
        <v/>
      </c>
      <c r="F71" s="28">
        <f>E71*(1+Hipótesis!$E$36)</f>
        <v/>
      </c>
      <c r="G71" s="28">
        <f>F71*(1+Hipótesis!$E$36)</f>
        <v/>
      </c>
      <c r="H71" s="28">
        <f>G71*(1+Hipótesis!$E$36)</f>
        <v/>
      </c>
      <c r="I71" s="28">
        <f>H71*(1+Hipótesis!$E$36)</f>
        <v/>
      </c>
      <c r="J71" s="28">
        <f>I71*(1+Hipótesis!$E$36)</f>
        <v/>
      </c>
      <c r="K71" s="28">
        <f>J71*(1+Hipótesis!$E$36)</f>
        <v/>
      </c>
      <c r="L71" s="28">
        <f>K71*(1+Hipótesis!$E$36)</f>
        <v/>
      </c>
      <c r="M71" s="28">
        <f>L71*(1+Hipótesis!$E$36)</f>
        <v/>
      </c>
      <c r="N71" s="28">
        <f>M71*(1+Hipótesis!$E$36)</f>
        <v/>
      </c>
      <c r="O71" s="29">
        <f>SUM(C71:N71)</f>
        <v/>
      </c>
    </row>
    <row r="72">
      <c r="B72" s="13" t="inlineStr">
        <is>
          <t xml:space="preserve">    Pruebas gratuitas iniciadas</t>
        </is>
      </c>
      <c r="C72" s="25">
        <f>C71*Hipótesis!$C$37</f>
        <v/>
      </c>
      <c r="D72" s="25">
        <f>D71*Hipótesis!$C$37</f>
        <v/>
      </c>
      <c r="E72" s="25">
        <f>E71*Hipótesis!$C$37</f>
        <v/>
      </c>
      <c r="F72" s="25">
        <f>F71*Hipótesis!$C$37</f>
        <v/>
      </c>
      <c r="G72" s="25">
        <f>G71*Hipótesis!$C$37</f>
        <v/>
      </c>
      <c r="H72" s="25">
        <f>H71*Hipótesis!$C$37</f>
        <v/>
      </c>
      <c r="I72" s="25">
        <f>I71*Hipótesis!$C$37</f>
        <v/>
      </c>
      <c r="J72" s="25">
        <f>J71*Hipótesis!$C$37</f>
        <v/>
      </c>
      <c r="K72" s="25">
        <f>K71*Hipótesis!$C$37</f>
        <v/>
      </c>
      <c r="L72" s="25">
        <f>L71*Hipótesis!$C$37</f>
        <v/>
      </c>
      <c r="M72" s="25">
        <f>M71*Hipótesis!$C$37</f>
        <v/>
      </c>
      <c r="N72" s="25">
        <f>N71*Hipótesis!$C$37</f>
        <v/>
      </c>
      <c r="O72" s="30">
        <f>SUM(C72:N72)</f>
        <v/>
      </c>
    </row>
    <row r="73">
      <c r="B73" s="20" t="inlineStr">
        <is>
          <t xml:space="preserve">    Clientes nuevos por embudo directo</t>
        </is>
      </c>
      <c r="C73" s="31">
        <f>IF(25&lt;Hipótesis!$C$44,0,C72*Hipótesis!$C$38)</f>
        <v/>
      </c>
      <c r="D73" s="31">
        <f>IF(26&lt;Hipótesis!$C$44,0,D72*Hipótesis!$C$38)</f>
        <v/>
      </c>
      <c r="E73" s="31">
        <f>IF(27&lt;Hipótesis!$C$44,0,E72*Hipótesis!$C$38)</f>
        <v/>
      </c>
      <c r="F73" s="31">
        <f>IF(28&lt;Hipótesis!$C$44,0,F72*Hipótesis!$C$38)</f>
        <v/>
      </c>
      <c r="G73" s="31">
        <f>IF(29&lt;Hipótesis!$C$44,0,G72*Hipótesis!$C$38)</f>
        <v/>
      </c>
      <c r="H73" s="31">
        <f>IF(30&lt;Hipótesis!$C$44,0,H72*Hipótesis!$C$38)</f>
        <v/>
      </c>
      <c r="I73" s="31">
        <f>IF(31&lt;Hipótesis!$C$44,0,I72*Hipótesis!$C$38)</f>
        <v/>
      </c>
      <c r="J73" s="31">
        <f>IF(32&lt;Hipótesis!$C$44,0,J72*Hipótesis!$C$38)</f>
        <v/>
      </c>
      <c r="K73" s="31">
        <f>IF(33&lt;Hipótesis!$C$44,0,K72*Hipótesis!$C$38)</f>
        <v/>
      </c>
      <c r="L73" s="31">
        <f>IF(34&lt;Hipótesis!$C$44,0,L72*Hipótesis!$C$38)</f>
        <v/>
      </c>
      <c r="M73" s="31">
        <f>IF(35&lt;Hipótesis!$C$44,0,M72*Hipótesis!$C$38)</f>
        <v/>
      </c>
      <c r="N73" s="31">
        <f>IF(36&lt;Hipótesis!$C$44,0,N72*Hipótesis!$C$38)</f>
        <v/>
      </c>
      <c r="O73" s="30">
        <f>SUM(C73:N73)</f>
        <v/>
      </c>
    </row>
    <row r="74"/>
    <row r="75">
      <c r="B75" s="9" t="inlineStr">
        <is>
          <t>Plan Inicial — Segmento A</t>
        </is>
      </c>
      <c r="C75" s="10" t="n"/>
      <c r="D75" s="10" t="n"/>
      <c r="E75" s="10" t="n"/>
      <c r="F75" s="10" t="n"/>
      <c r="G75" s="10" t="n"/>
      <c r="H75" s="10" t="n"/>
      <c r="I75" s="10" t="n"/>
      <c r="J75" s="10" t="n"/>
      <c r="K75" s="10" t="n"/>
      <c r="L75" s="10" t="n"/>
      <c r="M75" s="10" t="n"/>
      <c r="N75" s="10" t="n"/>
      <c r="O75" s="10" t="n"/>
    </row>
    <row r="76">
      <c r="A76" s="20" t="inlineStr">
        <is>
          <t>PLAN INICIAL</t>
        </is>
      </c>
      <c r="B76" s="13" t="inlineStr">
        <is>
          <t>Base al inicio del mes</t>
        </is>
      </c>
      <c r="C76" s="25">
        <f>N50</f>
        <v/>
      </c>
      <c r="D76" s="25">
        <f>C80</f>
        <v/>
      </c>
      <c r="E76" s="25">
        <f>D80</f>
        <v/>
      </c>
      <c r="F76" s="25">
        <f>E80</f>
        <v/>
      </c>
      <c r="G76" s="25">
        <f>F80</f>
        <v/>
      </c>
      <c r="H76" s="25">
        <f>G80</f>
        <v/>
      </c>
      <c r="I76" s="25">
        <f>H80</f>
        <v/>
      </c>
      <c r="J76" s="25">
        <f>I80</f>
        <v/>
      </c>
      <c r="K76" s="25">
        <f>J80</f>
        <v/>
      </c>
      <c r="L76" s="25">
        <f>K80</f>
        <v/>
      </c>
      <c r="M76" s="25">
        <f>L80</f>
        <v/>
      </c>
      <c r="N76" s="25">
        <f>M80</f>
        <v/>
      </c>
    </row>
    <row r="77">
      <c r="B77" s="13" t="inlineStr">
        <is>
          <t xml:space="preserve">    Altas por embudo directo</t>
        </is>
      </c>
      <c r="C77" s="25">
        <f>C73</f>
        <v/>
      </c>
      <c r="D77" s="25">
        <f>D73</f>
        <v/>
      </c>
      <c r="E77" s="25">
        <f>E73</f>
        <v/>
      </c>
      <c r="F77" s="25">
        <f>F73</f>
        <v/>
      </c>
      <c r="G77" s="25">
        <f>G73</f>
        <v/>
      </c>
      <c r="H77" s="25">
        <f>H73</f>
        <v/>
      </c>
      <c r="I77" s="25">
        <f>I73</f>
        <v/>
      </c>
      <c r="J77" s="25">
        <f>J73</f>
        <v/>
      </c>
      <c r="K77" s="25">
        <f>K73</f>
        <v/>
      </c>
      <c r="L77" s="25">
        <f>L73</f>
        <v/>
      </c>
      <c r="M77" s="25">
        <f>M73</f>
        <v/>
      </c>
      <c r="N77" s="25">
        <f>N73</f>
        <v/>
      </c>
      <c r="O77" s="30">
        <f>SUM(C77:N77)</f>
        <v/>
      </c>
    </row>
    <row r="78">
      <c r="B78" s="13" t="inlineStr">
        <is>
          <t xml:space="preserve">    Altas por conversión de pilotos</t>
        </is>
      </c>
      <c r="C78" s="25">
        <f>IF(AND(25=Hipótesis!$C$44,3=1),Hipótesis!$C$42*Hipótesis!$C$43,0)</f>
        <v/>
      </c>
      <c r="D78" s="25">
        <f>IF(AND(26=Hipótesis!$C$44,3=1),Hipótesis!$C$42*Hipótesis!$C$43,0)</f>
        <v/>
      </c>
      <c r="E78" s="25">
        <f>IF(AND(27=Hipótesis!$C$44,3=1),Hipótesis!$C$42*Hipótesis!$C$43,0)</f>
        <v/>
      </c>
      <c r="F78" s="25">
        <f>IF(AND(28=Hipótesis!$C$44,3=1),Hipótesis!$C$42*Hipótesis!$C$43,0)</f>
        <v/>
      </c>
      <c r="G78" s="25">
        <f>IF(AND(29=Hipótesis!$C$44,3=1),Hipótesis!$C$42*Hipótesis!$C$43,0)</f>
        <v/>
      </c>
      <c r="H78" s="25">
        <f>IF(AND(30=Hipótesis!$C$44,3=1),Hipótesis!$C$42*Hipótesis!$C$43,0)</f>
        <v/>
      </c>
      <c r="I78" s="25">
        <f>IF(AND(31=Hipótesis!$C$44,3=1),Hipótesis!$C$42*Hipótesis!$C$43,0)</f>
        <v/>
      </c>
      <c r="J78" s="25">
        <f>IF(AND(32=Hipótesis!$C$44,3=1),Hipótesis!$C$42*Hipótesis!$C$43,0)</f>
        <v/>
      </c>
      <c r="K78" s="25">
        <f>IF(AND(33=Hipótesis!$C$44,3=1),Hipótesis!$C$42*Hipótesis!$C$43,0)</f>
        <v/>
      </c>
      <c r="L78" s="25">
        <f>IF(AND(34=Hipótesis!$C$44,3=1),Hipótesis!$C$42*Hipótesis!$C$43,0)</f>
        <v/>
      </c>
      <c r="M78" s="25">
        <f>IF(AND(35=Hipótesis!$C$44,3=1),Hipótesis!$C$42*Hipótesis!$C$43,0)</f>
        <v/>
      </c>
      <c r="N78" s="25">
        <f>IF(AND(36=Hipótesis!$C$44,3=1),Hipótesis!$C$42*Hipótesis!$C$43,0)</f>
        <v/>
      </c>
      <c r="O78" s="30">
        <f>SUM(C78:N78)</f>
        <v/>
      </c>
    </row>
    <row r="79">
      <c r="B79" s="13" t="inlineStr">
        <is>
          <t xml:space="preserve">    Bajas</t>
        </is>
      </c>
      <c r="C79" s="25">
        <f>-C76*Hipótesis!$E$50</f>
        <v/>
      </c>
      <c r="D79" s="25">
        <f>-D76*Hipótesis!$E$50</f>
        <v/>
      </c>
      <c r="E79" s="25">
        <f>-E76*Hipótesis!$E$50</f>
        <v/>
      </c>
      <c r="F79" s="25">
        <f>-F76*Hipótesis!$E$50</f>
        <v/>
      </c>
      <c r="G79" s="25">
        <f>-G76*Hipótesis!$E$50</f>
        <v/>
      </c>
      <c r="H79" s="25">
        <f>-H76*Hipótesis!$E$50</f>
        <v/>
      </c>
      <c r="I79" s="25">
        <f>-I76*Hipótesis!$E$50</f>
        <v/>
      </c>
      <c r="J79" s="25">
        <f>-J76*Hipótesis!$E$50</f>
        <v/>
      </c>
      <c r="K79" s="25">
        <f>-K76*Hipótesis!$E$50</f>
        <v/>
      </c>
      <c r="L79" s="25">
        <f>-L76*Hipótesis!$E$50</f>
        <v/>
      </c>
      <c r="M79" s="25">
        <f>-M76*Hipótesis!$E$50</f>
        <v/>
      </c>
      <c r="N79" s="25">
        <f>-N76*Hipótesis!$E$50</f>
        <v/>
      </c>
      <c r="O79" s="30">
        <f>SUM(C79:N79)</f>
        <v/>
      </c>
    </row>
    <row r="80">
      <c r="B80" s="20" t="inlineStr">
        <is>
          <t>Base activa al cierre</t>
        </is>
      </c>
      <c r="C80" s="31">
        <f>SUM(C76:C79)</f>
        <v/>
      </c>
      <c r="D80" s="31">
        <f>SUM(D76:D79)</f>
        <v/>
      </c>
      <c r="E80" s="31">
        <f>SUM(E76:E79)</f>
        <v/>
      </c>
      <c r="F80" s="31">
        <f>SUM(F76:F79)</f>
        <v/>
      </c>
      <c r="G80" s="31">
        <f>SUM(G76:G79)</f>
        <v/>
      </c>
      <c r="H80" s="31">
        <f>SUM(H76:H79)</f>
        <v/>
      </c>
      <c r="I80" s="31">
        <f>SUM(I76:I79)</f>
        <v/>
      </c>
      <c r="J80" s="31">
        <f>SUM(J76:J79)</f>
        <v/>
      </c>
      <c r="K80" s="31">
        <f>SUM(K76:K79)</f>
        <v/>
      </c>
      <c r="L80" s="31">
        <f>SUM(L76:L79)</f>
        <v/>
      </c>
      <c r="M80" s="31">
        <f>SUM(M76:M79)</f>
        <v/>
      </c>
      <c r="N80" s="31">
        <f>SUM(N76:N79)</f>
        <v/>
      </c>
      <c r="O80" s="30">
        <f>N80</f>
        <v/>
      </c>
    </row>
    <row r="81"/>
    <row r="82">
      <c r="B82" s="9" t="inlineStr">
        <is>
          <t>Plan Estándar — Segmento B</t>
        </is>
      </c>
      <c r="C82" s="10" t="n"/>
      <c r="D82" s="10" t="n"/>
      <c r="E82" s="10" t="n"/>
      <c r="F82" s="10" t="n"/>
      <c r="G82" s="10" t="n"/>
      <c r="H82" s="10" t="n"/>
      <c r="I82" s="10" t="n"/>
      <c r="J82" s="10" t="n"/>
      <c r="K82" s="10" t="n"/>
      <c r="L82" s="10" t="n"/>
      <c r="M82" s="10" t="n"/>
      <c r="N82" s="10" t="n"/>
      <c r="O82" s="10" t="n"/>
    </row>
    <row r="83">
      <c r="A83" s="20" t="inlineStr">
        <is>
          <t>PLAN ESTÁNDAR</t>
        </is>
      </c>
      <c r="B83" s="13" t="inlineStr">
        <is>
          <t>Base al inicio del mes</t>
        </is>
      </c>
      <c r="C83" s="25">
        <f>N56</f>
        <v/>
      </c>
      <c r="D83" s="25">
        <f>C86</f>
        <v/>
      </c>
      <c r="E83" s="25">
        <f>D86</f>
        <v/>
      </c>
      <c r="F83" s="25">
        <f>E86</f>
        <v/>
      </c>
      <c r="G83" s="25">
        <f>F86</f>
        <v/>
      </c>
      <c r="H83" s="25">
        <f>G86</f>
        <v/>
      </c>
      <c r="I83" s="25">
        <f>H86</f>
        <v/>
      </c>
      <c r="J83" s="25">
        <f>I86</f>
        <v/>
      </c>
      <c r="K83" s="25">
        <f>J86</f>
        <v/>
      </c>
      <c r="L83" s="25">
        <f>K86</f>
        <v/>
      </c>
      <c r="M83" s="25">
        <f>L86</f>
        <v/>
      </c>
      <c r="N83" s="25">
        <f>M86</f>
        <v/>
      </c>
    </row>
    <row r="84">
      <c r="B84" s="13" t="inlineStr">
        <is>
          <t xml:space="preserve">    Altas</t>
        </is>
      </c>
      <c r="C84" s="25">
        <f>IF(25&lt;9,0,Hipótesis!$E$47/IF(3=1,4,12))</f>
        <v/>
      </c>
      <c r="D84" s="25">
        <f>IF(26&lt;9,0,Hipótesis!$E$47/IF(3=1,4,12))</f>
        <v/>
      </c>
      <c r="E84" s="25">
        <f>IF(27&lt;9,0,Hipótesis!$E$47/IF(3=1,4,12))</f>
        <v/>
      </c>
      <c r="F84" s="25">
        <f>IF(28&lt;9,0,Hipótesis!$E$47/IF(3=1,4,12))</f>
        <v/>
      </c>
      <c r="G84" s="25">
        <f>IF(29&lt;9,0,Hipótesis!$E$47/IF(3=1,4,12))</f>
        <v/>
      </c>
      <c r="H84" s="25">
        <f>IF(30&lt;9,0,Hipótesis!$E$47/IF(3=1,4,12))</f>
        <v/>
      </c>
      <c r="I84" s="25">
        <f>IF(31&lt;9,0,Hipótesis!$E$47/IF(3=1,4,12))</f>
        <v/>
      </c>
      <c r="J84" s="25">
        <f>IF(32&lt;9,0,Hipótesis!$E$47/IF(3=1,4,12))</f>
        <v/>
      </c>
      <c r="K84" s="25">
        <f>IF(33&lt;9,0,Hipótesis!$E$47/IF(3=1,4,12))</f>
        <v/>
      </c>
      <c r="L84" s="25">
        <f>IF(34&lt;9,0,Hipótesis!$E$47/IF(3=1,4,12))</f>
        <v/>
      </c>
      <c r="M84" s="25">
        <f>IF(35&lt;9,0,Hipótesis!$E$47/IF(3=1,4,12))</f>
        <v/>
      </c>
      <c r="N84" s="25">
        <f>IF(36&lt;9,0,Hipótesis!$E$47/IF(3=1,4,12))</f>
        <v/>
      </c>
      <c r="O84" s="30">
        <f>SUM(C84:N84)</f>
        <v/>
      </c>
    </row>
    <row r="85">
      <c r="B85" s="13" t="inlineStr">
        <is>
          <t xml:space="preserve">    Bajas</t>
        </is>
      </c>
      <c r="C85" s="25">
        <f>-C83*Hipótesis!$E$50</f>
        <v/>
      </c>
      <c r="D85" s="25">
        <f>-D83*Hipótesis!$E$50</f>
        <v/>
      </c>
      <c r="E85" s="25">
        <f>-E83*Hipótesis!$E$50</f>
        <v/>
      </c>
      <c r="F85" s="25">
        <f>-F83*Hipótesis!$E$50</f>
        <v/>
      </c>
      <c r="G85" s="25">
        <f>-G83*Hipótesis!$E$50</f>
        <v/>
      </c>
      <c r="H85" s="25">
        <f>-H83*Hipótesis!$E$50</f>
        <v/>
      </c>
      <c r="I85" s="25">
        <f>-I83*Hipótesis!$E$50</f>
        <v/>
      </c>
      <c r="J85" s="25">
        <f>-J83*Hipótesis!$E$50</f>
        <v/>
      </c>
      <c r="K85" s="25">
        <f>-K83*Hipótesis!$E$50</f>
        <v/>
      </c>
      <c r="L85" s="25">
        <f>-L83*Hipótesis!$E$50</f>
        <v/>
      </c>
      <c r="M85" s="25">
        <f>-M83*Hipótesis!$E$50</f>
        <v/>
      </c>
      <c r="N85" s="25">
        <f>-N83*Hipótesis!$E$50</f>
        <v/>
      </c>
      <c r="O85" s="30">
        <f>SUM(C85:N85)</f>
        <v/>
      </c>
    </row>
    <row r="86">
      <c r="B86" s="20" t="inlineStr">
        <is>
          <t>Base activa al cierre</t>
        </is>
      </c>
      <c r="C86" s="31">
        <f>SUM(C83:C85)</f>
        <v/>
      </c>
      <c r="D86" s="31">
        <f>SUM(D83:D85)</f>
        <v/>
      </c>
      <c r="E86" s="31">
        <f>SUM(E83:E85)</f>
        <v/>
      </c>
      <c r="F86" s="31">
        <f>SUM(F83:F85)</f>
        <v/>
      </c>
      <c r="G86" s="31">
        <f>SUM(G83:G85)</f>
        <v/>
      </c>
      <c r="H86" s="31">
        <f>SUM(H83:H85)</f>
        <v/>
      </c>
      <c r="I86" s="31">
        <f>SUM(I83:I85)</f>
        <v/>
      </c>
      <c r="J86" s="31">
        <f>SUM(J83:J85)</f>
        <v/>
      </c>
      <c r="K86" s="31">
        <f>SUM(K83:K85)</f>
        <v/>
      </c>
      <c r="L86" s="31">
        <f>SUM(L83:L85)</f>
        <v/>
      </c>
      <c r="M86" s="31">
        <f>SUM(M83:M85)</f>
        <v/>
      </c>
      <c r="N86" s="31">
        <f>SUM(N83:N85)</f>
        <v/>
      </c>
      <c r="O86" s="30">
        <f>N86</f>
        <v/>
      </c>
    </row>
    <row r="87"/>
    <row r="88">
      <c r="B88" s="9" t="inlineStr">
        <is>
          <t>Plan Partner — Segmento C</t>
        </is>
      </c>
      <c r="C88" s="10" t="n"/>
      <c r="D88" s="10" t="n"/>
      <c r="E88" s="10" t="n"/>
      <c r="F88" s="10" t="n"/>
      <c r="G88" s="10" t="n"/>
      <c r="H88" s="10" t="n"/>
      <c r="I88" s="10" t="n"/>
      <c r="J88" s="10" t="n"/>
      <c r="K88" s="10" t="n"/>
      <c r="L88" s="10" t="n"/>
      <c r="M88" s="10" t="n"/>
      <c r="N88" s="10" t="n"/>
      <c r="O88" s="10" t="n"/>
    </row>
    <row r="89">
      <c r="A89" s="20" t="inlineStr">
        <is>
          <t>PLAN PARTNER</t>
        </is>
      </c>
      <c r="B89" s="13" t="inlineStr">
        <is>
          <t>Partners activos</t>
        </is>
      </c>
      <c r="C89" s="28">
        <f>ROUND(Hipótesis!$D$45+(Hipótesis!$E$45-Hipótesis!$D$45)*1/12,0)</f>
        <v/>
      </c>
      <c r="D89" s="28">
        <f>ROUND(Hipótesis!$D$45+(Hipótesis!$E$45-Hipótesis!$D$45)*2/12,0)</f>
        <v/>
      </c>
      <c r="E89" s="28">
        <f>ROUND(Hipótesis!$D$45+(Hipótesis!$E$45-Hipótesis!$D$45)*3/12,0)</f>
        <v/>
      </c>
      <c r="F89" s="28">
        <f>ROUND(Hipótesis!$D$45+(Hipótesis!$E$45-Hipótesis!$D$45)*4/12,0)</f>
        <v/>
      </c>
      <c r="G89" s="28">
        <f>ROUND(Hipótesis!$D$45+(Hipótesis!$E$45-Hipótesis!$D$45)*5/12,0)</f>
        <v/>
      </c>
      <c r="H89" s="28">
        <f>ROUND(Hipótesis!$D$45+(Hipótesis!$E$45-Hipótesis!$D$45)*6/12,0)</f>
        <v/>
      </c>
      <c r="I89" s="28">
        <f>ROUND(Hipótesis!$D$45+(Hipótesis!$E$45-Hipótesis!$D$45)*7/12,0)</f>
        <v/>
      </c>
      <c r="J89" s="28">
        <f>ROUND(Hipótesis!$D$45+(Hipótesis!$E$45-Hipótesis!$D$45)*8/12,0)</f>
        <v/>
      </c>
      <c r="K89" s="28">
        <f>ROUND(Hipótesis!$D$45+(Hipótesis!$E$45-Hipótesis!$D$45)*9/12,0)</f>
        <v/>
      </c>
      <c r="L89" s="28">
        <f>ROUND(Hipótesis!$D$45+(Hipótesis!$E$45-Hipótesis!$D$45)*10/12,0)</f>
        <v/>
      </c>
      <c r="M89" s="28">
        <f>ROUND(Hipótesis!$D$45+(Hipótesis!$E$45-Hipótesis!$D$45)*11/12,0)</f>
        <v/>
      </c>
      <c r="N89" s="28">
        <f>ROUND(Hipótesis!$D$45+(Hipótesis!$E$45-Hipótesis!$D$45)*12/12,0)</f>
        <v/>
      </c>
      <c r="O89" s="29">
        <f>N89</f>
        <v/>
      </c>
    </row>
    <row r="90">
      <c r="B90" s="20" t="inlineStr">
        <is>
          <t>Clientes gestionados por el canal</t>
        </is>
      </c>
      <c r="C90" s="31">
        <f>IF(25&lt;Hipótesis!$C$44,0,C89*Hipótesis!$E$46)</f>
        <v/>
      </c>
      <c r="D90" s="31">
        <f>IF(26&lt;Hipótesis!$C$44,0,D89*Hipótesis!$E$46)</f>
        <v/>
      </c>
      <c r="E90" s="31">
        <f>IF(27&lt;Hipótesis!$C$44,0,E89*Hipótesis!$E$46)</f>
        <v/>
      </c>
      <c r="F90" s="31">
        <f>IF(28&lt;Hipótesis!$C$44,0,F89*Hipótesis!$E$46)</f>
        <v/>
      </c>
      <c r="G90" s="31">
        <f>IF(29&lt;Hipótesis!$C$44,0,G89*Hipótesis!$E$46)</f>
        <v/>
      </c>
      <c r="H90" s="31">
        <f>IF(30&lt;Hipótesis!$C$44,0,H89*Hipótesis!$E$46)</f>
        <v/>
      </c>
      <c r="I90" s="31">
        <f>IF(31&lt;Hipótesis!$C$44,0,I89*Hipótesis!$E$46)</f>
        <v/>
      </c>
      <c r="J90" s="31">
        <f>IF(32&lt;Hipótesis!$C$44,0,J89*Hipótesis!$E$46)</f>
        <v/>
      </c>
      <c r="K90" s="31">
        <f>IF(33&lt;Hipótesis!$C$44,0,K89*Hipótesis!$E$46)</f>
        <v/>
      </c>
      <c r="L90" s="31">
        <f>IF(34&lt;Hipótesis!$C$44,0,L89*Hipótesis!$E$46)</f>
        <v/>
      </c>
      <c r="M90" s="31">
        <f>IF(35&lt;Hipótesis!$C$44,0,M89*Hipótesis!$E$46)</f>
        <v/>
      </c>
      <c r="N90" s="31">
        <f>IF(36&lt;Hipótesis!$C$44,0,N89*Hipótesis!$E$46)</f>
        <v/>
      </c>
      <c r="O90" s="30">
        <f>N90</f>
        <v/>
      </c>
    </row>
    <row r="91"/>
    <row r="92">
      <c r="B92" s="9" t="inlineStr">
        <is>
          <t>Consolidado</t>
        </is>
      </c>
      <c r="C92" s="10" t="n"/>
      <c r="D92" s="10" t="n"/>
      <c r="E92" s="10" t="n"/>
      <c r="F92" s="10" t="n"/>
      <c r="G92" s="10" t="n"/>
      <c r="H92" s="10" t="n"/>
      <c r="I92" s="10" t="n"/>
      <c r="J92" s="10" t="n"/>
      <c r="K92" s="10" t="n"/>
      <c r="L92" s="10" t="n"/>
      <c r="M92" s="10" t="n"/>
      <c r="N92" s="10" t="n"/>
      <c r="O92" s="10" t="n"/>
    </row>
    <row r="93">
      <c r="A93" s="20" t="inlineStr">
        <is>
          <t>TOTAL</t>
        </is>
      </c>
      <c r="B93" s="20" t="inlineStr">
        <is>
          <t>Clientes pagos activos</t>
        </is>
      </c>
      <c r="C93" s="31">
        <f>C80+C86+C90</f>
        <v/>
      </c>
      <c r="D93" s="31">
        <f>D80+D86+D90</f>
        <v/>
      </c>
      <c r="E93" s="31">
        <f>E80+E86+E90</f>
        <v/>
      </c>
      <c r="F93" s="31">
        <f>F80+F86+F90</f>
        <v/>
      </c>
      <c r="G93" s="31">
        <f>G80+G86+G90</f>
        <v/>
      </c>
      <c r="H93" s="31">
        <f>H80+H86+H90</f>
        <v/>
      </c>
      <c r="I93" s="31">
        <f>I80+I86+I90</f>
        <v/>
      </c>
      <c r="J93" s="31">
        <f>J80+J86+J90</f>
        <v/>
      </c>
      <c r="K93" s="31">
        <f>K80+K86+K90</f>
        <v/>
      </c>
      <c r="L93" s="31">
        <f>L80+L86+L90</f>
        <v/>
      </c>
      <c r="M93" s="31">
        <f>M80+M86+M90</f>
        <v/>
      </c>
      <c r="N93" s="31">
        <f>N80+N86+N90</f>
        <v/>
      </c>
      <c r="O93" s="30">
        <f>N93</f>
        <v/>
      </c>
    </row>
    <row r="94">
      <c r="B94" s="20" t="inlineStr">
        <is>
          <t>Equipos administrados</t>
        </is>
      </c>
      <c r="C94" s="18">
        <f>C80*Hipótesis!$E$51+C86*Hipótesis!$E$52+C90*Hipótesis!$E$53</f>
        <v/>
      </c>
      <c r="D94" s="18">
        <f>D80*Hipótesis!$E$51+D86*Hipótesis!$E$52+D90*Hipótesis!$E$53</f>
        <v/>
      </c>
      <c r="E94" s="18">
        <f>E80*Hipótesis!$E$51+E86*Hipótesis!$E$52+E90*Hipótesis!$E$53</f>
        <v/>
      </c>
      <c r="F94" s="18">
        <f>F80*Hipótesis!$E$51+F86*Hipótesis!$E$52+F90*Hipótesis!$E$53</f>
        <v/>
      </c>
      <c r="G94" s="18">
        <f>G80*Hipótesis!$E$51+G86*Hipótesis!$E$52+G90*Hipótesis!$E$53</f>
        <v/>
      </c>
      <c r="H94" s="18">
        <f>H80*Hipótesis!$E$51+H86*Hipótesis!$E$52+H90*Hipótesis!$E$53</f>
        <v/>
      </c>
      <c r="I94" s="18">
        <f>I80*Hipótesis!$E$51+I86*Hipótesis!$E$52+I90*Hipótesis!$E$53</f>
        <v/>
      </c>
      <c r="J94" s="18">
        <f>J80*Hipótesis!$E$51+J86*Hipótesis!$E$52+J90*Hipótesis!$E$53</f>
        <v/>
      </c>
      <c r="K94" s="18">
        <f>K80*Hipótesis!$E$51+K86*Hipótesis!$E$52+K90*Hipótesis!$E$53</f>
        <v/>
      </c>
      <c r="L94" s="18">
        <f>L80*Hipótesis!$E$51+L86*Hipótesis!$E$52+L90*Hipótesis!$E$53</f>
        <v/>
      </c>
      <c r="M94" s="18">
        <f>M80*Hipótesis!$E$51+M86*Hipótesis!$E$52+M90*Hipótesis!$E$53</f>
        <v/>
      </c>
      <c r="N94" s="18">
        <f>N80*Hipótesis!$E$51+N86*Hipótesis!$E$52+N90*Hipótesis!$E$53</f>
        <v/>
      </c>
      <c r="O94" s="29">
        <f>N94</f>
        <v/>
      </c>
    </row>
    <row r="95"/>
    <row r="96"/>
    <row r="97">
      <c r="C97" s="5" t="n">
        <v>2030</v>
      </c>
    </row>
    <row r="98">
      <c r="C98" s="26" t="inlineStr">
        <is>
          <t>Ene</t>
        </is>
      </c>
      <c r="D98" s="26" t="inlineStr">
        <is>
          <t>Feb</t>
        </is>
      </c>
      <c r="E98" s="26" t="inlineStr">
        <is>
          <t>Mar</t>
        </is>
      </c>
      <c r="F98" s="26" t="inlineStr">
        <is>
          <t>Abr</t>
        </is>
      </c>
      <c r="G98" s="26" t="inlineStr">
        <is>
          <t>May</t>
        </is>
      </c>
      <c r="H98" s="26" t="inlineStr">
        <is>
          <t>Jun</t>
        </is>
      </c>
      <c r="I98" s="26" t="inlineStr">
        <is>
          <t>Jul</t>
        </is>
      </c>
      <c r="J98" s="26" t="inlineStr">
        <is>
          <t>Ago</t>
        </is>
      </c>
      <c r="K98" s="26" t="inlineStr">
        <is>
          <t>Sep</t>
        </is>
      </c>
      <c r="L98" s="26" t="inlineStr">
        <is>
          <t>Oct</t>
        </is>
      </c>
      <c r="M98" s="26" t="inlineStr">
        <is>
          <t>Nov</t>
        </is>
      </c>
      <c r="N98" s="26" t="inlineStr">
        <is>
          <t>Dic</t>
        </is>
      </c>
      <c r="O98" s="27" t="inlineStr">
        <is>
          <t>Total 2030</t>
        </is>
      </c>
    </row>
    <row r="99"/>
    <row r="100">
      <c r="B100" s="9" t="inlineStr">
        <is>
          <t>Embudo comercial</t>
        </is>
      </c>
      <c r="C100" s="10" t="n"/>
      <c r="D100" s="10" t="n"/>
      <c r="E100" s="10" t="n"/>
      <c r="F100" s="10" t="n"/>
      <c r="G100" s="10" t="n"/>
      <c r="H100" s="10" t="n"/>
      <c r="I100" s="10" t="n"/>
      <c r="J100" s="10" t="n"/>
      <c r="K100" s="10" t="n"/>
      <c r="L100" s="10" t="n"/>
      <c r="M100" s="10" t="n"/>
      <c r="N100" s="10" t="n"/>
      <c r="O100" s="10" t="n"/>
    </row>
    <row r="101">
      <c r="A101" s="20" t="inlineStr">
        <is>
          <t>EMBUDO</t>
        </is>
      </c>
      <c r="B101" s="13" t="inlineStr">
        <is>
          <t>Visitas web</t>
        </is>
      </c>
      <c r="C101" s="28">
        <f>N71*(1+Hipótesis!$F$36)</f>
        <v/>
      </c>
      <c r="D101" s="28">
        <f>C101*(1+Hipótesis!$F$36)</f>
        <v/>
      </c>
      <c r="E101" s="28">
        <f>D101*(1+Hipótesis!$F$36)</f>
        <v/>
      </c>
      <c r="F101" s="28">
        <f>E101*(1+Hipótesis!$F$36)</f>
        <v/>
      </c>
      <c r="G101" s="28">
        <f>F101*(1+Hipótesis!$F$36)</f>
        <v/>
      </c>
      <c r="H101" s="28">
        <f>G101*(1+Hipótesis!$F$36)</f>
        <v/>
      </c>
      <c r="I101" s="28">
        <f>H101*(1+Hipótesis!$F$36)</f>
        <v/>
      </c>
      <c r="J101" s="28">
        <f>I101*(1+Hipótesis!$F$36)</f>
        <v/>
      </c>
      <c r="K101" s="28">
        <f>J101*(1+Hipótesis!$F$36)</f>
        <v/>
      </c>
      <c r="L101" s="28">
        <f>K101*(1+Hipótesis!$F$36)</f>
        <v/>
      </c>
      <c r="M101" s="28">
        <f>L101*(1+Hipótesis!$F$36)</f>
        <v/>
      </c>
      <c r="N101" s="28">
        <f>M101*(1+Hipótesis!$F$36)</f>
        <v/>
      </c>
      <c r="O101" s="29">
        <f>SUM(C101:N101)</f>
        <v/>
      </c>
    </row>
    <row r="102">
      <c r="B102" s="13" t="inlineStr">
        <is>
          <t xml:space="preserve">    Pruebas gratuitas iniciadas</t>
        </is>
      </c>
      <c r="C102" s="25">
        <f>C101*Hipótesis!$C$37</f>
        <v/>
      </c>
      <c r="D102" s="25">
        <f>D101*Hipótesis!$C$37</f>
        <v/>
      </c>
      <c r="E102" s="25">
        <f>E101*Hipótesis!$C$37</f>
        <v/>
      </c>
      <c r="F102" s="25">
        <f>F101*Hipótesis!$C$37</f>
        <v/>
      </c>
      <c r="G102" s="25">
        <f>G101*Hipótesis!$C$37</f>
        <v/>
      </c>
      <c r="H102" s="25">
        <f>H101*Hipótesis!$C$37</f>
        <v/>
      </c>
      <c r="I102" s="25">
        <f>I101*Hipótesis!$C$37</f>
        <v/>
      </c>
      <c r="J102" s="25">
        <f>J101*Hipótesis!$C$37</f>
        <v/>
      </c>
      <c r="K102" s="25">
        <f>K101*Hipótesis!$C$37</f>
        <v/>
      </c>
      <c r="L102" s="25">
        <f>L101*Hipótesis!$C$37</f>
        <v/>
      </c>
      <c r="M102" s="25">
        <f>M101*Hipótesis!$C$37</f>
        <v/>
      </c>
      <c r="N102" s="25">
        <f>N101*Hipótesis!$C$37</f>
        <v/>
      </c>
      <c r="O102" s="30">
        <f>SUM(C102:N102)</f>
        <v/>
      </c>
    </row>
    <row r="103">
      <c r="B103" s="20" t="inlineStr">
        <is>
          <t xml:space="preserve">    Clientes nuevos por embudo directo</t>
        </is>
      </c>
      <c r="C103" s="31">
        <f>IF(37&lt;Hipótesis!$C$44,0,C102*Hipótesis!$C$38)</f>
        <v/>
      </c>
      <c r="D103" s="31">
        <f>IF(38&lt;Hipótesis!$C$44,0,D102*Hipótesis!$C$38)</f>
        <v/>
      </c>
      <c r="E103" s="31">
        <f>IF(39&lt;Hipótesis!$C$44,0,E102*Hipótesis!$C$38)</f>
        <v/>
      </c>
      <c r="F103" s="31">
        <f>IF(40&lt;Hipótesis!$C$44,0,F102*Hipótesis!$C$38)</f>
        <v/>
      </c>
      <c r="G103" s="31">
        <f>IF(41&lt;Hipótesis!$C$44,0,G102*Hipótesis!$C$38)</f>
        <v/>
      </c>
      <c r="H103" s="31">
        <f>IF(42&lt;Hipótesis!$C$44,0,H102*Hipótesis!$C$38)</f>
        <v/>
      </c>
      <c r="I103" s="31">
        <f>IF(43&lt;Hipótesis!$C$44,0,I102*Hipótesis!$C$38)</f>
        <v/>
      </c>
      <c r="J103" s="31">
        <f>IF(44&lt;Hipótesis!$C$44,0,J102*Hipótesis!$C$38)</f>
        <v/>
      </c>
      <c r="K103" s="31">
        <f>IF(45&lt;Hipótesis!$C$44,0,K102*Hipótesis!$C$38)</f>
        <v/>
      </c>
      <c r="L103" s="31">
        <f>IF(46&lt;Hipótesis!$C$44,0,L102*Hipótesis!$C$38)</f>
        <v/>
      </c>
      <c r="M103" s="31">
        <f>IF(47&lt;Hipótesis!$C$44,0,M102*Hipótesis!$C$38)</f>
        <v/>
      </c>
      <c r="N103" s="31">
        <f>IF(48&lt;Hipótesis!$C$44,0,N102*Hipótesis!$C$38)</f>
        <v/>
      </c>
      <c r="O103" s="30">
        <f>SUM(C103:N103)</f>
        <v/>
      </c>
    </row>
    <row r="104"/>
    <row r="105">
      <c r="B105" s="9" t="inlineStr">
        <is>
          <t>Plan Inicial — Segmento A</t>
        </is>
      </c>
      <c r="C105" s="10" t="n"/>
      <c r="D105" s="10" t="n"/>
      <c r="E105" s="10" t="n"/>
      <c r="F105" s="10" t="n"/>
      <c r="G105" s="10" t="n"/>
      <c r="H105" s="10" t="n"/>
      <c r="I105" s="10" t="n"/>
      <c r="J105" s="10" t="n"/>
      <c r="K105" s="10" t="n"/>
      <c r="L105" s="10" t="n"/>
      <c r="M105" s="10" t="n"/>
      <c r="N105" s="10" t="n"/>
      <c r="O105" s="10" t="n"/>
    </row>
    <row r="106">
      <c r="A106" s="20" t="inlineStr">
        <is>
          <t>PLAN INICIAL</t>
        </is>
      </c>
      <c r="B106" s="13" t="inlineStr">
        <is>
          <t>Base al inicio del mes</t>
        </is>
      </c>
      <c r="C106" s="25">
        <f>N80</f>
        <v/>
      </c>
      <c r="D106" s="25">
        <f>C110</f>
        <v/>
      </c>
      <c r="E106" s="25">
        <f>D110</f>
        <v/>
      </c>
      <c r="F106" s="25">
        <f>E110</f>
        <v/>
      </c>
      <c r="G106" s="25">
        <f>F110</f>
        <v/>
      </c>
      <c r="H106" s="25">
        <f>G110</f>
        <v/>
      </c>
      <c r="I106" s="25">
        <f>H110</f>
        <v/>
      </c>
      <c r="J106" s="25">
        <f>I110</f>
        <v/>
      </c>
      <c r="K106" s="25">
        <f>J110</f>
        <v/>
      </c>
      <c r="L106" s="25">
        <f>K110</f>
        <v/>
      </c>
      <c r="M106" s="25">
        <f>L110</f>
        <v/>
      </c>
      <c r="N106" s="25">
        <f>M110</f>
        <v/>
      </c>
    </row>
    <row r="107">
      <c r="B107" s="13" t="inlineStr">
        <is>
          <t xml:space="preserve">    Altas por embudo directo</t>
        </is>
      </c>
      <c r="C107" s="25">
        <f>C103</f>
        <v/>
      </c>
      <c r="D107" s="25">
        <f>D103</f>
        <v/>
      </c>
      <c r="E107" s="25">
        <f>E103</f>
        <v/>
      </c>
      <c r="F107" s="25">
        <f>F103</f>
        <v/>
      </c>
      <c r="G107" s="25">
        <f>G103</f>
        <v/>
      </c>
      <c r="H107" s="25">
        <f>H103</f>
        <v/>
      </c>
      <c r="I107" s="25">
        <f>I103</f>
        <v/>
      </c>
      <c r="J107" s="25">
        <f>J103</f>
        <v/>
      </c>
      <c r="K107" s="25">
        <f>K103</f>
        <v/>
      </c>
      <c r="L107" s="25">
        <f>L103</f>
        <v/>
      </c>
      <c r="M107" s="25">
        <f>M103</f>
        <v/>
      </c>
      <c r="N107" s="25">
        <f>N103</f>
        <v/>
      </c>
      <c r="O107" s="30">
        <f>SUM(C107:N107)</f>
        <v/>
      </c>
    </row>
    <row r="108">
      <c r="B108" s="13" t="inlineStr">
        <is>
          <t xml:space="preserve">    Altas por conversión de pilotos</t>
        </is>
      </c>
      <c r="C108" s="25">
        <f>IF(AND(37=Hipótesis!$C$44,4=1),Hipótesis!$C$42*Hipótesis!$C$43,0)</f>
        <v/>
      </c>
      <c r="D108" s="25">
        <f>IF(AND(38=Hipótesis!$C$44,4=1),Hipótesis!$C$42*Hipótesis!$C$43,0)</f>
        <v/>
      </c>
      <c r="E108" s="25">
        <f>IF(AND(39=Hipótesis!$C$44,4=1),Hipótesis!$C$42*Hipótesis!$C$43,0)</f>
        <v/>
      </c>
      <c r="F108" s="25">
        <f>IF(AND(40=Hipótesis!$C$44,4=1),Hipótesis!$C$42*Hipótesis!$C$43,0)</f>
        <v/>
      </c>
      <c r="G108" s="25">
        <f>IF(AND(41=Hipótesis!$C$44,4=1),Hipótesis!$C$42*Hipótesis!$C$43,0)</f>
        <v/>
      </c>
      <c r="H108" s="25">
        <f>IF(AND(42=Hipótesis!$C$44,4=1),Hipótesis!$C$42*Hipótesis!$C$43,0)</f>
        <v/>
      </c>
      <c r="I108" s="25">
        <f>IF(AND(43=Hipótesis!$C$44,4=1),Hipótesis!$C$42*Hipótesis!$C$43,0)</f>
        <v/>
      </c>
      <c r="J108" s="25">
        <f>IF(AND(44=Hipótesis!$C$44,4=1),Hipótesis!$C$42*Hipótesis!$C$43,0)</f>
        <v/>
      </c>
      <c r="K108" s="25">
        <f>IF(AND(45=Hipótesis!$C$44,4=1),Hipótesis!$C$42*Hipótesis!$C$43,0)</f>
        <v/>
      </c>
      <c r="L108" s="25">
        <f>IF(AND(46=Hipótesis!$C$44,4=1),Hipótesis!$C$42*Hipótesis!$C$43,0)</f>
        <v/>
      </c>
      <c r="M108" s="25">
        <f>IF(AND(47=Hipótesis!$C$44,4=1),Hipótesis!$C$42*Hipótesis!$C$43,0)</f>
        <v/>
      </c>
      <c r="N108" s="25">
        <f>IF(AND(48=Hipótesis!$C$44,4=1),Hipótesis!$C$42*Hipótesis!$C$43,0)</f>
        <v/>
      </c>
      <c r="O108" s="30">
        <f>SUM(C108:N108)</f>
        <v/>
      </c>
    </row>
    <row r="109">
      <c r="B109" s="13" t="inlineStr">
        <is>
          <t xml:space="preserve">    Bajas</t>
        </is>
      </c>
      <c r="C109" s="25">
        <f>-C106*Hipótesis!$F$50</f>
        <v/>
      </c>
      <c r="D109" s="25">
        <f>-D106*Hipótesis!$F$50</f>
        <v/>
      </c>
      <c r="E109" s="25">
        <f>-E106*Hipótesis!$F$50</f>
        <v/>
      </c>
      <c r="F109" s="25">
        <f>-F106*Hipótesis!$F$50</f>
        <v/>
      </c>
      <c r="G109" s="25">
        <f>-G106*Hipótesis!$F$50</f>
        <v/>
      </c>
      <c r="H109" s="25">
        <f>-H106*Hipótesis!$F$50</f>
        <v/>
      </c>
      <c r="I109" s="25">
        <f>-I106*Hipótesis!$F$50</f>
        <v/>
      </c>
      <c r="J109" s="25">
        <f>-J106*Hipótesis!$F$50</f>
        <v/>
      </c>
      <c r="K109" s="25">
        <f>-K106*Hipótesis!$F$50</f>
        <v/>
      </c>
      <c r="L109" s="25">
        <f>-L106*Hipótesis!$F$50</f>
        <v/>
      </c>
      <c r="M109" s="25">
        <f>-M106*Hipótesis!$F$50</f>
        <v/>
      </c>
      <c r="N109" s="25">
        <f>-N106*Hipótesis!$F$50</f>
        <v/>
      </c>
      <c r="O109" s="30">
        <f>SUM(C109:N109)</f>
        <v/>
      </c>
    </row>
    <row r="110">
      <c r="B110" s="20" t="inlineStr">
        <is>
          <t>Base activa al cierre</t>
        </is>
      </c>
      <c r="C110" s="31">
        <f>SUM(C106:C109)</f>
        <v/>
      </c>
      <c r="D110" s="31">
        <f>SUM(D106:D109)</f>
        <v/>
      </c>
      <c r="E110" s="31">
        <f>SUM(E106:E109)</f>
        <v/>
      </c>
      <c r="F110" s="31">
        <f>SUM(F106:F109)</f>
        <v/>
      </c>
      <c r="G110" s="31">
        <f>SUM(G106:G109)</f>
        <v/>
      </c>
      <c r="H110" s="31">
        <f>SUM(H106:H109)</f>
        <v/>
      </c>
      <c r="I110" s="31">
        <f>SUM(I106:I109)</f>
        <v/>
      </c>
      <c r="J110" s="31">
        <f>SUM(J106:J109)</f>
        <v/>
      </c>
      <c r="K110" s="31">
        <f>SUM(K106:K109)</f>
        <v/>
      </c>
      <c r="L110" s="31">
        <f>SUM(L106:L109)</f>
        <v/>
      </c>
      <c r="M110" s="31">
        <f>SUM(M106:M109)</f>
        <v/>
      </c>
      <c r="N110" s="31">
        <f>SUM(N106:N109)</f>
        <v/>
      </c>
      <c r="O110" s="30">
        <f>N110</f>
        <v/>
      </c>
    </row>
    <row r="111"/>
    <row r="112">
      <c r="B112" s="9" t="inlineStr">
        <is>
          <t>Plan Estándar — Segmento B</t>
        </is>
      </c>
      <c r="C112" s="10" t="n"/>
      <c r="D112" s="10" t="n"/>
      <c r="E112" s="10" t="n"/>
      <c r="F112" s="10" t="n"/>
      <c r="G112" s="10" t="n"/>
      <c r="H112" s="10" t="n"/>
      <c r="I112" s="10" t="n"/>
      <c r="J112" s="10" t="n"/>
      <c r="K112" s="10" t="n"/>
      <c r="L112" s="10" t="n"/>
      <c r="M112" s="10" t="n"/>
      <c r="N112" s="10" t="n"/>
      <c r="O112" s="10" t="n"/>
    </row>
    <row r="113">
      <c r="A113" s="20" t="inlineStr">
        <is>
          <t>PLAN ESTÁNDAR</t>
        </is>
      </c>
      <c r="B113" s="13" t="inlineStr">
        <is>
          <t>Base al inicio del mes</t>
        </is>
      </c>
      <c r="C113" s="25">
        <f>N86</f>
        <v/>
      </c>
      <c r="D113" s="25">
        <f>C116</f>
        <v/>
      </c>
      <c r="E113" s="25">
        <f>D116</f>
        <v/>
      </c>
      <c r="F113" s="25">
        <f>E116</f>
        <v/>
      </c>
      <c r="G113" s="25">
        <f>F116</f>
        <v/>
      </c>
      <c r="H113" s="25">
        <f>G116</f>
        <v/>
      </c>
      <c r="I113" s="25">
        <f>H116</f>
        <v/>
      </c>
      <c r="J113" s="25">
        <f>I116</f>
        <v/>
      </c>
      <c r="K113" s="25">
        <f>J116</f>
        <v/>
      </c>
      <c r="L113" s="25">
        <f>K116</f>
        <v/>
      </c>
      <c r="M113" s="25">
        <f>L116</f>
        <v/>
      </c>
      <c r="N113" s="25">
        <f>M116</f>
        <v/>
      </c>
    </row>
    <row r="114">
      <c r="B114" s="13" t="inlineStr">
        <is>
          <t xml:space="preserve">    Altas</t>
        </is>
      </c>
      <c r="C114" s="25">
        <f>IF(37&lt;9,0,Hipótesis!$F$47/IF(4=1,4,12))</f>
        <v/>
      </c>
      <c r="D114" s="25">
        <f>IF(38&lt;9,0,Hipótesis!$F$47/IF(4=1,4,12))</f>
        <v/>
      </c>
      <c r="E114" s="25">
        <f>IF(39&lt;9,0,Hipótesis!$F$47/IF(4=1,4,12))</f>
        <v/>
      </c>
      <c r="F114" s="25">
        <f>IF(40&lt;9,0,Hipótesis!$F$47/IF(4=1,4,12))</f>
        <v/>
      </c>
      <c r="G114" s="25">
        <f>IF(41&lt;9,0,Hipótesis!$F$47/IF(4=1,4,12))</f>
        <v/>
      </c>
      <c r="H114" s="25">
        <f>IF(42&lt;9,0,Hipótesis!$F$47/IF(4=1,4,12))</f>
        <v/>
      </c>
      <c r="I114" s="25">
        <f>IF(43&lt;9,0,Hipótesis!$F$47/IF(4=1,4,12))</f>
        <v/>
      </c>
      <c r="J114" s="25">
        <f>IF(44&lt;9,0,Hipótesis!$F$47/IF(4=1,4,12))</f>
        <v/>
      </c>
      <c r="K114" s="25">
        <f>IF(45&lt;9,0,Hipótesis!$F$47/IF(4=1,4,12))</f>
        <v/>
      </c>
      <c r="L114" s="25">
        <f>IF(46&lt;9,0,Hipótesis!$F$47/IF(4=1,4,12))</f>
        <v/>
      </c>
      <c r="M114" s="25">
        <f>IF(47&lt;9,0,Hipótesis!$F$47/IF(4=1,4,12))</f>
        <v/>
      </c>
      <c r="N114" s="25">
        <f>IF(48&lt;9,0,Hipótesis!$F$47/IF(4=1,4,12))</f>
        <v/>
      </c>
      <c r="O114" s="30">
        <f>SUM(C114:N114)</f>
        <v/>
      </c>
    </row>
    <row r="115">
      <c r="B115" s="13" t="inlineStr">
        <is>
          <t xml:space="preserve">    Bajas</t>
        </is>
      </c>
      <c r="C115" s="25">
        <f>-C113*Hipótesis!$F$50</f>
        <v/>
      </c>
      <c r="D115" s="25">
        <f>-D113*Hipótesis!$F$50</f>
        <v/>
      </c>
      <c r="E115" s="25">
        <f>-E113*Hipótesis!$F$50</f>
        <v/>
      </c>
      <c r="F115" s="25">
        <f>-F113*Hipótesis!$F$50</f>
        <v/>
      </c>
      <c r="G115" s="25">
        <f>-G113*Hipótesis!$F$50</f>
        <v/>
      </c>
      <c r="H115" s="25">
        <f>-H113*Hipótesis!$F$50</f>
        <v/>
      </c>
      <c r="I115" s="25">
        <f>-I113*Hipótesis!$F$50</f>
        <v/>
      </c>
      <c r="J115" s="25">
        <f>-J113*Hipótesis!$F$50</f>
        <v/>
      </c>
      <c r="K115" s="25">
        <f>-K113*Hipótesis!$F$50</f>
        <v/>
      </c>
      <c r="L115" s="25">
        <f>-L113*Hipótesis!$F$50</f>
        <v/>
      </c>
      <c r="M115" s="25">
        <f>-M113*Hipótesis!$F$50</f>
        <v/>
      </c>
      <c r="N115" s="25">
        <f>-N113*Hipótesis!$F$50</f>
        <v/>
      </c>
      <c r="O115" s="30">
        <f>SUM(C115:N115)</f>
        <v/>
      </c>
    </row>
    <row r="116">
      <c r="B116" s="20" t="inlineStr">
        <is>
          <t>Base activa al cierre</t>
        </is>
      </c>
      <c r="C116" s="31">
        <f>SUM(C113:C115)</f>
        <v/>
      </c>
      <c r="D116" s="31">
        <f>SUM(D113:D115)</f>
        <v/>
      </c>
      <c r="E116" s="31">
        <f>SUM(E113:E115)</f>
        <v/>
      </c>
      <c r="F116" s="31">
        <f>SUM(F113:F115)</f>
        <v/>
      </c>
      <c r="G116" s="31">
        <f>SUM(G113:G115)</f>
        <v/>
      </c>
      <c r="H116" s="31">
        <f>SUM(H113:H115)</f>
        <v/>
      </c>
      <c r="I116" s="31">
        <f>SUM(I113:I115)</f>
        <v/>
      </c>
      <c r="J116" s="31">
        <f>SUM(J113:J115)</f>
        <v/>
      </c>
      <c r="K116" s="31">
        <f>SUM(K113:K115)</f>
        <v/>
      </c>
      <c r="L116" s="31">
        <f>SUM(L113:L115)</f>
        <v/>
      </c>
      <c r="M116" s="31">
        <f>SUM(M113:M115)</f>
        <v/>
      </c>
      <c r="N116" s="31">
        <f>SUM(N113:N115)</f>
        <v/>
      </c>
      <c r="O116" s="30">
        <f>N116</f>
        <v/>
      </c>
    </row>
    <row r="117"/>
    <row r="118">
      <c r="B118" s="9" t="inlineStr">
        <is>
          <t>Plan Partner — Segmento C</t>
        </is>
      </c>
      <c r="C118" s="10" t="n"/>
      <c r="D118" s="10" t="n"/>
      <c r="E118" s="10" t="n"/>
      <c r="F118" s="10" t="n"/>
      <c r="G118" s="10" t="n"/>
      <c r="H118" s="10" t="n"/>
      <c r="I118" s="10" t="n"/>
      <c r="J118" s="10" t="n"/>
      <c r="K118" s="10" t="n"/>
      <c r="L118" s="10" t="n"/>
      <c r="M118" s="10" t="n"/>
      <c r="N118" s="10" t="n"/>
      <c r="O118" s="10" t="n"/>
    </row>
    <row r="119">
      <c r="A119" s="20" t="inlineStr">
        <is>
          <t>PLAN PARTNER</t>
        </is>
      </c>
      <c r="B119" s="13" t="inlineStr">
        <is>
          <t>Partners activos</t>
        </is>
      </c>
      <c r="C119" s="28">
        <f>ROUND(Hipótesis!$E$45+(Hipótesis!$F$45-Hipótesis!$E$45)*1/12,0)</f>
        <v/>
      </c>
      <c r="D119" s="28">
        <f>ROUND(Hipótesis!$E$45+(Hipótesis!$F$45-Hipótesis!$E$45)*2/12,0)</f>
        <v/>
      </c>
      <c r="E119" s="28">
        <f>ROUND(Hipótesis!$E$45+(Hipótesis!$F$45-Hipótesis!$E$45)*3/12,0)</f>
        <v/>
      </c>
      <c r="F119" s="28">
        <f>ROUND(Hipótesis!$E$45+(Hipótesis!$F$45-Hipótesis!$E$45)*4/12,0)</f>
        <v/>
      </c>
      <c r="G119" s="28">
        <f>ROUND(Hipótesis!$E$45+(Hipótesis!$F$45-Hipótesis!$E$45)*5/12,0)</f>
        <v/>
      </c>
      <c r="H119" s="28">
        <f>ROUND(Hipótesis!$E$45+(Hipótesis!$F$45-Hipótesis!$E$45)*6/12,0)</f>
        <v/>
      </c>
      <c r="I119" s="28">
        <f>ROUND(Hipótesis!$E$45+(Hipótesis!$F$45-Hipótesis!$E$45)*7/12,0)</f>
        <v/>
      </c>
      <c r="J119" s="28">
        <f>ROUND(Hipótesis!$E$45+(Hipótesis!$F$45-Hipótesis!$E$45)*8/12,0)</f>
        <v/>
      </c>
      <c r="K119" s="28">
        <f>ROUND(Hipótesis!$E$45+(Hipótesis!$F$45-Hipótesis!$E$45)*9/12,0)</f>
        <v/>
      </c>
      <c r="L119" s="28">
        <f>ROUND(Hipótesis!$E$45+(Hipótesis!$F$45-Hipótesis!$E$45)*10/12,0)</f>
        <v/>
      </c>
      <c r="M119" s="28">
        <f>ROUND(Hipótesis!$E$45+(Hipótesis!$F$45-Hipótesis!$E$45)*11/12,0)</f>
        <v/>
      </c>
      <c r="N119" s="28">
        <f>ROUND(Hipótesis!$E$45+(Hipótesis!$F$45-Hipótesis!$E$45)*12/12,0)</f>
        <v/>
      </c>
      <c r="O119" s="29">
        <f>N119</f>
        <v/>
      </c>
    </row>
    <row r="120">
      <c r="B120" s="20" t="inlineStr">
        <is>
          <t>Clientes gestionados por el canal</t>
        </is>
      </c>
      <c r="C120" s="31">
        <f>IF(37&lt;Hipótesis!$C$44,0,C119*Hipótesis!$F$46)</f>
        <v/>
      </c>
      <c r="D120" s="31">
        <f>IF(38&lt;Hipótesis!$C$44,0,D119*Hipótesis!$F$46)</f>
        <v/>
      </c>
      <c r="E120" s="31">
        <f>IF(39&lt;Hipótesis!$C$44,0,E119*Hipótesis!$F$46)</f>
        <v/>
      </c>
      <c r="F120" s="31">
        <f>IF(40&lt;Hipótesis!$C$44,0,F119*Hipótesis!$F$46)</f>
        <v/>
      </c>
      <c r="G120" s="31">
        <f>IF(41&lt;Hipótesis!$C$44,0,G119*Hipótesis!$F$46)</f>
        <v/>
      </c>
      <c r="H120" s="31">
        <f>IF(42&lt;Hipótesis!$C$44,0,H119*Hipótesis!$F$46)</f>
        <v/>
      </c>
      <c r="I120" s="31">
        <f>IF(43&lt;Hipótesis!$C$44,0,I119*Hipótesis!$F$46)</f>
        <v/>
      </c>
      <c r="J120" s="31">
        <f>IF(44&lt;Hipótesis!$C$44,0,J119*Hipótesis!$F$46)</f>
        <v/>
      </c>
      <c r="K120" s="31">
        <f>IF(45&lt;Hipótesis!$C$44,0,K119*Hipótesis!$F$46)</f>
        <v/>
      </c>
      <c r="L120" s="31">
        <f>IF(46&lt;Hipótesis!$C$44,0,L119*Hipótesis!$F$46)</f>
        <v/>
      </c>
      <c r="M120" s="31">
        <f>IF(47&lt;Hipótesis!$C$44,0,M119*Hipótesis!$F$46)</f>
        <v/>
      </c>
      <c r="N120" s="31">
        <f>IF(48&lt;Hipótesis!$C$44,0,N119*Hipótesis!$F$46)</f>
        <v/>
      </c>
      <c r="O120" s="30">
        <f>N120</f>
        <v/>
      </c>
    </row>
    <row r="121"/>
    <row r="122">
      <c r="B122" s="9" t="inlineStr">
        <is>
          <t>Consolidado</t>
        </is>
      </c>
      <c r="C122" s="10" t="n"/>
      <c r="D122" s="10" t="n"/>
      <c r="E122" s="10" t="n"/>
      <c r="F122" s="10" t="n"/>
      <c r="G122" s="10" t="n"/>
      <c r="H122" s="10" t="n"/>
      <c r="I122" s="10" t="n"/>
      <c r="J122" s="10" t="n"/>
      <c r="K122" s="10" t="n"/>
      <c r="L122" s="10" t="n"/>
      <c r="M122" s="10" t="n"/>
      <c r="N122" s="10" t="n"/>
      <c r="O122" s="10" t="n"/>
    </row>
    <row r="123">
      <c r="A123" s="20" t="inlineStr">
        <is>
          <t>TOTAL</t>
        </is>
      </c>
      <c r="B123" s="20" t="inlineStr">
        <is>
          <t>Clientes pagos activos</t>
        </is>
      </c>
      <c r="C123" s="31">
        <f>C110+C116+C120</f>
        <v/>
      </c>
      <c r="D123" s="31">
        <f>D110+D116+D120</f>
        <v/>
      </c>
      <c r="E123" s="31">
        <f>E110+E116+E120</f>
        <v/>
      </c>
      <c r="F123" s="31">
        <f>F110+F116+F120</f>
        <v/>
      </c>
      <c r="G123" s="31">
        <f>G110+G116+G120</f>
        <v/>
      </c>
      <c r="H123" s="31">
        <f>H110+H116+H120</f>
        <v/>
      </c>
      <c r="I123" s="31">
        <f>I110+I116+I120</f>
        <v/>
      </c>
      <c r="J123" s="31">
        <f>J110+J116+J120</f>
        <v/>
      </c>
      <c r="K123" s="31">
        <f>K110+K116+K120</f>
        <v/>
      </c>
      <c r="L123" s="31">
        <f>L110+L116+L120</f>
        <v/>
      </c>
      <c r="M123" s="31">
        <f>M110+M116+M120</f>
        <v/>
      </c>
      <c r="N123" s="31">
        <f>N110+N116+N120</f>
        <v/>
      </c>
      <c r="O123" s="30">
        <f>N123</f>
        <v/>
      </c>
    </row>
    <row r="124">
      <c r="B124" s="20" t="inlineStr">
        <is>
          <t>Equipos administrados</t>
        </is>
      </c>
      <c r="C124" s="18">
        <f>C110*Hipótesis!$F$51+C116*Hipótesis!$F$52+C120*Hipótesis!$F$53</f>
        <v/>
      </c>
      <c r="D124" s="18">
        <f>D110*Hipótesis!$F$51+D116*Hipótesis!$F$52+D120*Hipótesis!$F$53</f>
        <v/>
      </c>
      <c r="E124" s="18">
        <f>E110*Hipótesis!$F$51+E116*Hipótesis!$F$52+E120*Hipótesis!$F$53</f>
        <v/>
      </c>
      <c r="F124" s="18">
        <f>F110*Hipótesis!$F$51+F116*Hipótesis!$F$52+F120*Hipótesis!$F$53</f>
        <v/>
      </c>
      <c r="G124" s="18">
        <f>G110*Hipótesis!$F$51+G116*Hipótesis!$F$52+G120*Hipótesis!$F$53</f>
        <v/>
      </c>
      <c r="H124" s="18">
        <f>H110*Hipótesis!$F$51+H116*Hipótesis!$F$52+H120*Hipótesis!$F$53</f>
        <v/>
      </c>
      <c r="I124" s="18">
        <f>I110*Hipótesis!$F$51+I116*Hipótesis!$F$52+I120*Hipótesis!$F$53</f>
        <v/>
      </c>
      <c r="J124" s="18">
        <f>J110*Hipótesis!$F$51+J116*Hipótesis!$F$52+J120*Hipótesis!$F$53</f>
        <v/>
      </c>
      <c r="K124" s="18">
        <f>K110*Hipótesis!$F$51+K116*Hipótesis!$F$52+K120*Hipótesis!$F$53</f>
        <v/>
      </c>
      <c r="L124" s="18">
        <f>L110*Hipótesis!$F$51+L116*Hipótesis!$F$52+L120*Hipótesis!$F$53</f>
        <v/>
      </c>
      <c r="M124" s="18">
        <f>M110*Hipótesis!$F$51+M116*Hipótesis!$F$52+M120*Hipótesis!$F$53</f>
        <v/>
      </c>
      <c r="N124" s="18">
        <f>N110*Hipótesis!$F$51+N116*Hipótesis!$F$52+N120*Hipótesis!$F$53</f>
        <v/>
      </c>
      <c r="O124" s="29">
        <f>N124</f>
        <v/>
      </c>
    </row>
    <row r="125"/>
    <row r="126">
      <c r="B126" s="9" t="inlineStr">
        <is>
          <t>Verificación contra las metas del documento (5.3.3)</t>
        </is>
      </c>
      <c r="C126" s="10" t="n"/>
      <c r="D126" s="10" t="n"/>
      <c r="E126" s="10" t="n"/>
      <c r="F126" s="10" t="n"/>
      <c r="G126" s="10" t="n"/>
      <c r="H126" s="10" t="n"/>
      <c r="I126" s="10" t="n"/>
      <c r="J126" s="10" t="n"/>
      <c r="K126" s="10" t="n"/>
      <c r="L126" s="10" t="n"/>
      <c r="M126" s="10" t="n"/>
      <c r="N126" s="10" t="n"/>
      <c r="O126" s="10" t="n"/>
    </row>
    <row r="127">
      <c r="C127" s="20" t="inlineStr">
        <is>
          <t>Proyectado</t>
        </is>
      </c>
      <c r="D127" s="20" t="inlineStr">
        <is>
          <t>Meta</t>
        </is>
      </c>
      <c r="E127" s="20" t="inlineStr">
        <is>
          <t>Desvío</t>
        </is>
      </c>
    </row>
    <row r="128">
      <c r="B128" s="13" t="inlineStr">
        <is>
          <t>Clientes pagos al mes 8 (Etapa E2)</t>
        </is>
      </c>
      <c r="C128" s="31">
        <f>J33</f>
        <v/>
      </c>
      <c r="D128" s="32" t="n">
        <v>10</v>
      </c>
      <c r="E128" s="16">
        <f>C128/D128-1</f>
        <v/>
      </c>
    </row>
    <row r="129">
      <c r="B129" s="13" t="inlineStr">
        <is>
          <t>Clientes pagos al mes 12 (Etapa E3)</t>
        </is>
      </c>
      <c r="C129" s="31">
        <f>N33</f>
        <v/>
      </c>
      <c r="D129" s="32" t="n">
        <v>25</v>
      </c>
      <c r="E129" s="16">
        <f>C129/D129-1</f>
        <v/>
      </c>
    </row>
    <row r="130">
      <c r="B130" s="13" t="inlineStr">
        <is>
          <t>Equipos administrados al mes 12</t>
        </is>
      </c>
      <c r="C130" s="31">
        <f>N34</f>
        <v/>
      </c>
      <c r="D130" s="32" t="n">
        <v>450</v>
      </c>
      <c r="E130" s="16">
        <f>C130/D130-1</f>
        <v/>
      </c>
    </row>
    <row r="131">
      <c r="B131" s="13" t="inlineStr">
        <is>
          <t>Participación de mercado al año 4</t>
        </is>
      </c>
      <c r="C131" s="21">
        <f>N123/Hipótesis!$C$31</f>
        <v/>
      </c>
      <c r="D131" s="36">
        <f>Hipótesis!$C$32</f>
        <v/>
      </c>
      <c r="E131" s="16">
        <f>C131/D131-1</f>
        <v/>
      </c>
      <c r="H131" s="3" t="inlineStr">
        <is>
          <t>La meta es la participación objetivo de la hoja Hipótesis. Si el modelo proyecta más que el objetivo, o el objetivo está corto o la proyección es optimista: hay que decidir cuál</t>
        </is>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5.xml><?xml version="1.0" encoding="utf-8"?>
<worksheet xmlns="http://schemas.openxmlformats.org/spreadsheetml/2006/main">
  <sheetPr>
    <tabColor rgb="0070AD47"/>
    <outlinePr summaryBelow="1" summaryRight="1"/>
    <pageSetUpPr/>
  </sheetPr>
  <dimension ref="A1:U96"/>
  <sheetViews>
    <sheetView showGridLines="0" workbookViewId="0">
      <pane xSplit="2" topLeftCell="C1" activePane="topRight" state="frozen"/>
      <selection pane="topRight" activeCell="A1" sqref="A1"/>
    </sheetView>
  </sheetViews>
  <sheetFormatPr baseColWidth="8" defaultRowHeight="15"/>
  <cols>
    <col width="16" customWidth="1" min="1" max="1"/>
    <col width="4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 width="30" customWidth="1" min="17" max="17"/>
    <col width="14" customWidth="1" min="18" max="18"/>
    <col width="14"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14"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4"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4" customWidth="1" min="54" max="54"/>
  </cols>
  <sheetData>
    <row r="1">
      <c r="A1" s="7" t="inlineStr">
        <is>
          <t>« Inicio</t>
        </is>
      </c>
    </row>
    <row r="2" ht="24" customHeight="1">
      <c r="B2" s="8" t="inlineStr">
        <is>
          <t>MODELO DE INGRESOS</t>
        </is>
      </c>
    </row>
    <row r="3">
      <c r="B3" s="3" t="inlineStr">
        <is>
          <t>Facturación por línea: abono de la base activa más los equipos que exceden lo que incluye cada plan. Los precios se actualizan una vez por año según el supuesto de aumento de lista.</t>
        </is>
      </c>
      <c r="Q3" s="5" t="inlineStr">
        <is>
          <t>Resumen anual</t>
        </is>
      </c>
    </row>
    <row r="4">
      <c r="Q4" s="3" t="inlineStr">
        <is>
          <t>Los totales de cada año, que son los que alimentan el gráfico.</t>
        </is>
      </c>
    </row>
    <row r="5">
      <c r="Q5" s="20" t="inlineStr">
        <is>
          <t>Concepto</t>
        </is>
      </c>
      <c r="R5" s="11" t="n">
        <v>2027</v>
      </c>
      <c r="S5" s="11" t="n">
        <v>2028</v>
      </c>
      <c r="T5" s="11" t="n">
        <v>2029</v>
      </c>
      <c r="U5" s="11" t="n">
        <v>2030</v>
      </c>
    </row>
    <row r="6">
      <c r="Q6" s="13" t="inlineStr">
        <is>
          <t>Plan Inicial</t>
        </is>
      </c>
      <c r="R6" s="28">
        <f>O13</f>
        <v/>
      </c>
      <c r="S6" s="28">
        <f>O36</f>
        <v/>
      </c>
      <c r="T6" s="28">
        <f>O59</f>
        <v/>
      </c>
      <c r="U6" s="28">
        <f>O82</f>
        <v/>
      </c>
    </row>
    <row r="7">
      <c r="C7" s="5" t="n">
        <v>2027</v>
      </c>
      <c r="Q7" s="13" t="inlineStr">
        <is>
          <t>Plan Estándar</t>
        </is>
      </c>
      <c r="R7" s="28">
        <f>O18</f>
        <v/>
      </c>
      <c r="S7" s="28">
        <f>O41</f>
        <v/>
      </c>
      <c r="T7" s="28">
        <f>O64</f>
        <v/>
      </c>
      <c r="U7" s="28">
        <f>O87</f>
        <v/>
      </c>
    </row>
    <row r="8">
      <c r="C8" s="26" t="inlineStr">
        <is>
          <t>Ene</t>
        </is>
      </c>
      <c r="D8" s="26" t="inlineStr">
        <is>
          <t>Feb</t>
        </is>
      </c>
      <c r="E8" s="26" t="inlineStr">
        <is>
          <t>Mar</t>
        </is>
      </c>
      <c r="F8" s="26" t="inlineStr">
        <is>
          <t>Abr</t>
        </is>
      </c>
      <c r="G8" s="26" t="inlineStr">
        <is>
          <t>May</t>
        </is>
      </c>
      <c r="H8" s="26" t="inlineStr">
        <is>
          <t>Jun</t>
        </is>
      </c>
      <c r="I8" s="26" t="inlineStr">
        <is>
          <t>Jul</t>
        </is>
      </c>
      <c r="J8" s="26" t="inlineStr">
        <is>
          <t>Ago</t>
        </is>
      </c>
      <c r="K8" s="26" t="inlineStr">
        <is>
          <t>Sep</t>
        </is>
      </c>
      <c r="L8" s="26" t="inlineStr">
        <is>
          <t>Oct</t>
        </is>
      </c>
      <c r="M8" s="26" t="inlineStr">
        <is>
          <t>Nov</t>
        </is>
      </c>
      <c r="N8" s="26" t="inlineStr">
        <is>
          <t>Dic</t>
        </is>
      </c>
      <c r="O8" s="27" t="inlineStr">
        <is>
          <t>Total 2027</t>
        </is>
      </c>
      <c r="Q8" s="13" t="inlineStr">
        <is>
          <t>Plan Partner</t>
        </is>
      </c>
      <c r="R8" s="28">
        <f>O23</f>
        <v/>
      </c>
      <c r="S8" s="28">
        <f>O46</f>
        <v/>
      </c>
      <c r="T8" s="28">
        <f>O69</f>
        <v/>
      </c>
      <c r="U8" s="28">
        <f>O92</f>
        <v/>
      </c>
    </row>
    <row r="9"/>
    <row r="10">
      <c r="B10" s="9" t="inlineStr">
        <is>
          <t>Plan Inicial</t>
        </is>
      </c>
      <c r="C10" s="10" t="n"/>
      <c r="D10" s="10" t="n"/>
      <c r="E10" s="10" t="n"/>
      <c r="F10" s="10" t="n"/>
      <c r="G10" s="10" t="n"/>
      <c r="H10" s="10" t="n"/>
      <c r="I10" s="10" t="n"/>
      <c r="J10" s="10" t="n"/>
      <c r="K10" s="10" t="n"/>
      <c r="L10" s="10" t="n"/>
      <c r="M10" s="10" t="n"/>
      <c r="N10" s="10" t="n"/>
      <c r="O10" s="10" t="n"/>
    </row>
    <row r="11">
      <c r="A11" s="20" t="inlineStr">
        <is>
          <t>PLAN INICIAL</t>
        </is>
      </c>
      <c r="B11" s="13" t="inlineStr">
        <is>
          <t>Ingreso por abono</t>
        </is>
      </c>
      <c r="C11" s="28">
        <f>'Proyección de ventas'!C20*Planes!$D$7*1</f>
        <v/>
      </c>
      <c r="D11" s="28">
        <f>'Proyección de ventas'!D20*Planes!$D$7*1</f>
        <v/>
      </c>
      <c r="E11" s="28">
        <f>'Proyección de ventas'!E20*Planes!$D$7*1</f>
        <v/>
      </c>
      <c r="F11" s="28">
        <f>'Proyección de ventas'!F20*Planes!$D$7*1</f>
        <v/>
      </c>
      <c r="G11" s="28">
        <f>'Proyección de ventas'!G20*Planes!$D$7*1</f>
        <v/>
      </c>
      <c r="H11" s="28">
        <f>'Proyección de ventas'!H20*Planes!$D$7*1</f>
        <v/>
      </c>
      <c r="I11" s="28">
        <f>'Proyección de ventas'!I20*Planes!$D$7*1</f>
        <v/>
      </c>
      <c r="J11" s="28">
        <f>'Proyección de ventas'!J20*Planes!$D$7*1</f>
        <v/>
      </c>
      <c r="K11" s="28">
        <f>'Proyección de ventas'!K20*Planes!$D$7*1</f>
        <v/>
      </c>
      <c r="L11" s="28">
        <f>'Proyección de ventas'!L20*Planes!$D$7*1</f>
        <v/>
      </c>
      <c r="M11" s="28">
        <f>'Proyección de ventas'!M20*Planes!$D$7*1</f>
        <v/>
      </c>
      <c r="N11" s="28">
        <f>'Proyección de ventas'!N20*Planes!$D$7*1</f>
        <v/>
      </c>
      <c r="O11" s="29">
        <f>SUM(C11:N11)</f>
        <v/>
      </c>
    </row>
    <row r="12">
      <c r="B12" s="13" t="inlineStr">
        <is>
          <t xml:space="preserve">    Ingreso por equipos adicionales</t>
        </is>
      </c>
      <c r="C12" s="28">
        <f>'Proyección de ventas'!C20*MAX(0,Hipótesis!$C$51-Planes!$E$7)*Planes!$F$7*1</f>
        <v/>
      </c>
      <c r="D12" s="28">
        <f>'Proyección de ventas'!D20*MAX(0,Hipótesis!$C$51-Planes!$E$7)*Planes!$F$7*1</f>
        <v/>
      </c>
      <c r="E12" s="28">
        <f>'Proyección de ventas'!E20*MAX(0,Hipótesis!$C$51-Planes!$E$7)*Planes!$F$7*1</f>
        <v/>
      </c>
      <c r="F12" s="28">
        <f>'Proyección de ventas'!F20*MAX(0,Hipótesis!$C$51-Planes!$E$7)*Planes!$F$7*1</f>
        <v/>
      </c>
      <c r="G12" s="28">
        <f>'Proyección de ventas'!G20*MAX(0,Hipótesis!$C$51-Planes!$E$7)*Planes!$F$7*1</f>
        <v/>
      </c>
      <c r="H12" s="28">
        <f>'Proyección de ventas'!H20*MAX(0,Hipótesis!$C$51-Planes!$E$7)*Planes!$F$7*1</f>
        <v/>
      </c>
      <c r="I12" s="28">
        <f>'Proyección de ventas'!I20*MAX(0,Hipótesis!$C$51-Planes!$E$7)*Planes!$F$7*1</f>
        <v/>
      </c>
      <c r="J12" s="28">
        <f>'Proyección de ventas'!J20*MAX(0,Hipótesis!$C$51-Planes!$E$7)*Planes!$F$7*1</f>
        <v/>
      </c>
      <c r="K12" s="28">
        <f>'Proyección de ventas'!K20*MAX(0,Hipótesis!$C$51-Planes!$E$7)*Planes!$F$7*1</f>
        <v/>
      </c>
      <c r="L12" s="28">
        <f>'Proyección de ventas'!L20*MAX(0,Hipótesis!$C$51-Planes!$E$7)*Planes!$F$7*1</f>
        <v/>
      </c>
      <c r="M12" s="28">
        <f>'Proyección de ventas'!M20*MAX(0,Hipótesis!$C$51-Planes!$E$7)*Planes!$F$7*1</f>
        <v/>
      </c>
      <c r="N12" s="28">
        <f>'Proyección de ventas'!N20*MAX(0,Hipótesis!$C$51-Planes!$E$7)*Planes!$F$7*1</f>
        <v/>
      </c>
      <c r="O12" s="29">
        <f>SUM(C12:N12)</f>
        <v/>
      </c>
    </row>
    <row r="13">
      <c r="B13" s="20" t="inlineStr">
        <is>
          <t>Total de la línea</t>
        </is>
      </c>
      <c r="C13" s="18">
        <f>C11+C12</f>
        <v/>
      </c>
      <c r="D13" s="18">
        <f>D11+D12</f>
        <v/>
      </c>
      <c r="E13" s="18">
        <f>E11+E12</f>
        <v/>
      </c>
      <c r="F13" s="18">
        <f>F11+F12</f>
        <v/>
      </c>
      <c r="G13" s="18">
        <f>G11+G12</f>
        <v/>
      </c>
      <c r="H13" s="18">
        <f>H11+H12</f>
        <v/>
      </c>
      <c r="I13" s="18">
        <f>I11+I12</f>
        <v/>
      </c>
      <c r="J13" s="18">
        <f>J11+J12</f>
        <v/>
      </c>
      <c r="K13" s="18">
        <f>K11+K12</f>
        <v/>
      </c>
      <c r="L13" s="18">
        <f>L11+L12</f>
        <v/>
      </c>
      <c r="M13" s="18">
        <f>M11+M12</f>
        <v/>
      </c>
      <c r="N13" s="18">
        <f>N11+N12</f>
        <v/>
      </c>
      <c r="O13" s="29">
        <f>SUM(C13:N13)</f>
        <v/>
      </c>
    </row>
    <row r="14"/>
    <row r="15">
      <c r="B15" s="9" t="inlineStr">
        <is>
          <t>Plan Estándar</t>
        </is>
      </c>
      <c r="C15" s="10" t="n"/>
      <c r="D15" s="10" t="n"/>
      <c r="E15" s="10" t="n"/>
      <c r="F15" s="10" t="n"/>
      <c r="G15" s="10" t="n"/>
      <c r="H15" s="10" t="n"/>
      <c r="I15" s="10" t="n"/>
      <c r="J15" s="10" t="n"/>
      <c r="K15" s="10" t="n"/>
      <c r="L15" s="10" t="n"/>
      <c r="M15" s="10" t="n"/>
      <c r="N15" s="10" t="n"/>
      <c r="O15" s="10" t="n"/>
    </row>
    <row r="16">
      <c r="A16" s="20" t="inlineStr">
        <is>
          <t>PLAN ESTÁNDAR</t>
        </is>
      </c>
      <c r="B16" s="13" t="inlineStr">
        <is>
          <t>Ingreso por abono</t>
        </is>
      </c>
      <c r="C16" s="28">
        <f>'Proyección de ventas'!C26*Planes!$D$8*1</f>
        <v/>
      </c>
      <c r="D16" s="28">
        <f>'Proyección de ventas'!D26*Planes!$D$8*1</f>
        <v/>
      </c>
      <c r="E16" s="28">
        <f>'Proyección de ventas'!E26*Planes!$D$8*1</f>
        <v/>
      </c>
      <c r="F16" s="28">
        <f>'Proyección de ventas'!F26*Planes!$D$8*1</f>
        <v/>
      </c>
      <c r="G16" s="28">
        <f>'Proyección de ventas'!G26*Planes!$D$8*1</f>
        <v/>
      </c>
      <c r="H16" s="28">
        <f>'Proyección de ventas'!H26*Planes!$D$8*1</f>
        <v/>
      </c>
      <c r="I16" s="28">
        <f>'Proyección de ventas'!I26*Planes!$D$8*1</f>
        <v/>
      </c>
      <c r="J16" s="28">
        <f>'Proyección de ventas'!J26*Planes!$D$8*1</f>
        <v/>
      </c>
      <c r="K16" s="28">
        <f>'Proyección de ventas'!K26*Planes!$D$8*1</f>
        <v/>
      </c>
      <c r="L16" s="28">
        <f>'Proyección de ventas'!L26*Planes!$D$8*1</f>
        <v/>
      </c>
      <c r="M16" s="28">
        <f>'Proyección de ventas'!M26*Planes!$D$8*1</f>
        <v/>
      </c>
      <c r="N16" s="28">
        <f>'Proyección de ventas'!N26*Planes!$D$8*1</f>
        <v/>
      </c>
      <c r="O16" s="29">
        <f>SUM(C16:N16)</f>
        <v/>
      </c>
    </row>
    <row r="17">
      <c r="B17" s="13" t="inlineStr">
        <is>
          <t xml:space="preserve">    Ingreso por equipos adicionales</t>
        </is>
      </c>
      <c r="C17" s="28">
        <f>'Proyección de ventas'!C26*MAX(0,Hipótesis!$C$52-Planes!$E$8)*Planes!$F$8*1</f>
        <v/>
      </c>
      <c r="D17" s="28">
        <f>'Proyección de ventas'!D26*MAX(0,Hipótesis!$C$52-Planes!$E$8)*Planes!$F$8*1</f>
        <v/>
      </c>
      <c r="E17" s="28">
        <f>'Proyección de ventas'!E26*MAX(0,Hipótesis!$C$52-Planes!$E$8)*Planes!$F$8*1</f>
        <v/>
      </c>
      <c r="F17" s="28">
        <f>'Proyección de ventas'!F26*MAX(0,Hipótesis!$C$52-Planes!$E$8)*Planes!$F$8*1</f>
        <v/>
      </c>
      <c r="G17" s="28">
        <f>'Proyección de ventas'!G26*MAX(0,Hipótesis!$C$52-Planes!$E$8)*Planes!$F$8*1</f>
        <v/>
      </c>
      <c r="H17" s="28">
        <f>'Proyección de ventas'!H26*MAX(0,Hipótesis!$C$52-Planes!$E$8)*Planes!$F$8*1</f>
        <v/>
      </c>
      <c r="I17" s="28">
        <f>'Proyección de ventas'!I26*MAX(0,Hipótesis!$C$52-Planes!$E$8)*Planes!$F$8*1</f>
        <v/>
      </c>
      <c r="J17" s="28">
        <f>'Proyección de ventas'!J26*MAX(0,Hipótesis!$C$52-Planes!$E$8)*Planes!$F$8*1</f>
        <v/>
      </c>
      <c r="K17" s="28">
        <f>'Proyección de ventas'!K26*MAX(0,Hipótesis!$C$52-Planes!$E$8)*Planes!$F$8*1</f>
        <v/>
      </c>
      <c r="L17" s="28">
        <f>'Proyección de ventas'!L26*MAX(0,Hipótesis!$C$52-Planes!$E$8)*Planes!$F$8*1</f>
        <v/>
      </c>
      <c r="M17" s="28">
        <f>'Proyección de ventas'!M26*MAX(0,Hipótesis!$C$52-Planes!$E$8)*Planes!$F$8*1</f>
        <v/>
      </c>
      <c r="N17" s="28">
        <f>'Proyección de ventas'!N26*MAX(0,Hipótesis!$C$52-Planes!$E$8)*Planes!$F$8*1</f>
        <v/>
      </c>
      <c r="O17" s="29">
        <f>SUM(C17:N17)</f>
        <v/>
      </c>
    </row>
    <row r="18">
      <c r="B18" s="20" t="inlineStr">
        <is>
          <t>Total de la línea</t>
        </is>
      </c>
      <c r="C18" s="18">
        <f>C16+C17</f>
        <v/>
      </c>
      <c r="D18" s="18">
        <f>D16+D17</f>
        <v/>
      </c>
      <c r="E18" s="18">
        <f>E16+E17</f>
        <v/>
      </c>
      <c r="F18" s="18">
        <f>F16+F17</f>
        <v/>
      </c>
      <c r="G18" s="18">
        <f>G16+G17</f>
        <v/>
      </c>
      <c r="H18" s="18">
        <f>H16+H17</f>
        <v/>
      </c>
      <c r="I18" s="18">
        <f>I16+I17</f>
        <v/>
      </c>
      <c r="J18" s="18">
        <f>J16+J17</f>
        <v/>
      </c>
      <c r="K18" s="18">
        <f>K16+K17</f>
        <v/>
      </c>
      <c r="L18" s="18">
        <f>L16+L17</f>
        <v/>
      </c>
      <c r="M18" s="18">
        <f>M16+M17</f>
        <v/>
      </c>
      <c r="N18" s="18">
        <f>N16+N17</f>
        <v/>
      </c>
      <c r="O18" s="29">
        <f>SUM(C18:N18)</f>
        <v/>
      </c>
    </row>
    <row r="19"/>
    <row r="20">
      <c r="B20" s="9" t="inlineStr">
        <is>
          <t>Plan Partner</t>
        </is>
      </c>
      <c r="C20" s="10" t="n"/>
      <c r="D20" s="10" t="n"/>
      <c r="E20" s="10" t="n"/>
      <c r="F20" s="10" t="n"/>
      <c r="G20" s="10" t="n"/>
      <c r="H20" s="10" t="n"/>
      <c r="I20" s="10" t="n"/>
      <c r="J20" s="10" t="n"/>
      <c r="K20" s="10" t="n"/>
      <c r="L20" s="10" t="n"/>
      <c r="M20" s="10" t="n"/>
      <c r="N20" s="10" t="n"/>
      <c r="O20" s="10" t="n"/>
    </row>
    <row r="21">
      <c r="A21" s="20" t="inlineStr">
        <is>
          <t>PLAN PARTNER</t>
        </is>
      </c>
      <c r="B21" s="13" t="inlineStr">
        <is>
          <t>Ingreso por abono</t>
        </is>
      </c>
      <c r="C21" s="28">
        <f>'Proyección de ventas'!C30*Planes!$D$9*1</f>
        <v/>
      </c>
      <c r="D21" s="28">
        <f>'Proyección de ventas'!D30*Planes!$D$9*1</f>
        <v/>
      </c>
      <c r="E21" s="28">
        <f>'Proyección de ventas'!E30*Planes!$D$9*1</f>
        <v/>
      </c>
      <c r="F21" s="28">
        <f>'Proyección de ventas'!F30*Planes!$D$9*1</f>
        <v/>
      </c>
      <c r="G21" s="28">
        <f>'Proyección de ventas'!G30*Planes!$D$9*1</f>
        <v/>
      </c>
      <c r="H21" s="28">
        <f>'Proyección de ventas'!H30*Planes!$D$9*1</f>
        <v/>
      </c>
      <c r="I21" s="28">
        <f>'Proyección de ventas'!I30*Planes!$D$9*1</f>
        <v/>
      </c>
      <c r="J21" s="28">
        <f>'Proyección de ventas'!J30*Planes!$D$9*1</f>
        <v/>
      </c>
      <c r="K21" s="28">
        <f>'Proyección de ventas'!K30*Planes!$D$9*1</f>
        <v/>
      </c>
      <c r="L21" s="28">
        <f>'Proyección de ventas'!L30*Planes!$D$9*1</f>
        <v/>
      </c>
      <c r="M21" s="28">
        <f>'Proyección de ventas'!M30*Planes!$D$9*1</f>
        <v/>
      </c>
      <c r="N21" s="28">
        <f>'Proyección de ventas'!N30*Planes!$D$9*1</f>
        <v/>
      </c>
      <c r="O21" s="29">
        <f>SUM(C21:N21)</f>
        <v/>
      </c>
    </row>
    <row r="22">
      <c r="B22" s="13" t="inlineStr">
        <is>
          <t xml:space="preserve">    Ingreso por equipos adicionales</t>
        </is>
      </c>
      <c r="C22" s="28">
        <f>'Proyección de ventas'!C30*MAX(0,Hipótesis!$C$53-Planes!$E$9)*Planes!$F$9*1</f>
        <v/>
      </c>
      <c r="D22" s="28">
        <f>'Proyección de ventas'!D30*MAX(0,Hipótesis!$C$53-Planes!$E$9)*Planes!$F$9*1</f>
        <v/>
      </c>
      <c r="E22" s="28">
        <f>'Proyección de ventas'!E30*MAX(0,Hipótesis!$C$53-Planes!$E$9)*Planes!$F$9*1</f>
        <v/>
      </c>
      <c r="F22" s="28">
        <f>'Proyección de ventas'!F30*MAX(0,Hipótesis!$C$53-Planes!$E$9)*Planes!$F$9*1</f>
        <v/>
      </c>
      <c r="G22" s="28">
        <f>'Proyección de ventas'!G30*MAX(0,Hipótesis!$C$53-Planes!$E$9)*Planes!$F$9*1</f>
        <v/>
      </c>
      <c r="H22" s="28">
        <f>'Proyección de ventas'!H30*MAX(0,Hipótesis!$C$53-Planes!$E$9)*Planes!$F$9*1</f>
        <v/>
      </c>
      <c r="I22" s="28">
        <f>'Proyección de ventas'!I30*MAX(0,Hipótesis!$C$53-Planes!$E$9)*Planes!$F$9*1</f>
        <v/>
      </c>
      <c r="J22" s="28">
        <f>'Proyección de ventas'!J30*MAX(0,Hipótesis!$C$53-Planes!$E$9)*Planes!$F$9*1</f>
        <v/>
      </c>
      <c r="K22" s="28">
        <f>'Proyección de ventas'!K30*MAX(0,Hipótesis!$C$53-Planes!$E$9)*Planes!$F$9*1</f>
        <v/>
      </c>
      <c r="L22" s="28">
        <f>'Proyección de ventas'!L30*MAX(0,Hipótesis!$C$53-Planes!$E$9)*Planes!$F$9*1</f>
        <v/>
      </c>
      <c r="M22" s="28">
        <f>'Proyección de ventas'!M30*MAX(0,Hipótesis!$C$53-Planes!$E$9)*Planes!$F$9*1</f>
        <v/>
      </c>
      <c r="N22" s="28">
        <f>'Proyección de ventas'!N30*MAX(0,Hipótesis!$C$53-Planes!$E$9)*Planes!$F$9*1</f>
        <v/>
      </c>
      <c r="O22" s="29">
        <f>SUM(C22:N22)</f>
        <v/>
      </c>
    </row>
    <row r="23">
      <c r="B23" s="20" t="inlineStr">
        <is>
          <t>Total de la línea</t>
        </is>
      </c>
      <c r="C23" s="18">
        <f>C21+C22</f>
        <v/>
      </c>
      <c r="D23" s="18">
        <f>D21+D22</f>
        <v/>
      </c>
      <c r="E23" s="18">
        <f>E21+E22</f>
        <v/>
      </c>
      <c r="F23" s="18">
        <f>F21+F22</f>
        <v/>
      </c>
      <c r="G23" s="18">
        <f>G21+G22</f>
        <v/>
      </c>
      <c r="H23" s="18">
        <f>H21+H22</f>
        <v/>
      </c>
      <c r="I23" s="18">
        <f>I21+I22</f>
        <v/>
      </c>
      <c r="J23" s="18">
        <f>J21+J22</f>
        <v/>
      </c>
      <c r="K23" s="18">
        <f>K21+K22</f>
        <v/>
      </c>
      <c r="L23" s="18">
        <f>L21+L22</f>
        <v/>
      </c>
      <c r="M23" s="18">
        <f>M21+M22</f>
        <v/>
      </c>
      <c r="N23" s="18">
        <f>N21+N22</f>
        <v/>
      </c>
      <c r="O23" s="29">
        <f>SUM(C23:N23)</f>
        <v/>
      </c>
    </row>
    <row r="24"/>
    <row r="25">
      <c r="B25" s="9" t="inlineStr">
        <is>
          <t>Total de ingresos</t>
        </is>
      </c>
      <c r="C25" s="10" t="n"/>
      <c r="D25" s="10" t="n"/>
      <c r="E25" s="10" t="n"/>
      <c r="F25" s="10" t="n"/>
      <c r="G25" s="10" t="n"/>
      <c r="H25" s="10" t="n"/>
      <c r="I25" s="10" t="n"/>
      <c r="J25" s="10" t="n"/>
      <c r="K25" s="10" t="n"/>
      <c r="L25" s="10" t="n"/>
      <c r="M25" s="10" t="n"/>
      <c r="N25" s="10" t="n"/>
      <c r="O25" s="10" t="n"/>
    </row>
    <row r="26">
      <c r="A26" s="20" t="inlineStr">
        <is>
          <t>TOTAL</t>
        </is>
      </c>
      <c r="B26" s="20" t="inlineStr">
        <is>
          <t>Ingresos del mes</t>
        </is>
      </c>
      <c r="C26" s="18">
        <f>C13+C18+C23</f>
        <v/>
      </c>
      <c r="D26" s="18">
        <f>D13+D18+D23</f>
        <v/>
      </c>
      <c r="E26" s="18">
        <f>E13+E18+E23</f>
        <v/>
      </c>
      <c r="F26" s="18">
        <f>F13+F18+F23</f>
        <v/>
      </c>
      <c r="G26" s="18">
        <f>G13+G18+G23</f>
        <v/>
      </c>
      <c r="H26" s="18">
        <f>H13+H18+H23</f>
        <v/>
      </c>
      <c r="I26" s="18">
        <f>I13+I18+I23</f>
        <v/>
      </c>
      <c r="J26" s="18">
        <f>J13+J18+J23</f>
        <v/>
      </c>
      <c r="K26" s="18">
        <f>K13+K18+K23</f>
        <v/>
      </c>
      <c r="L26" s="18">
        <f>L13+L18+L23</f>
        <v/>
      </c>
      <c r="M26" s="18">
        <f>M13+M18+M23</f>
        <v/>
      </c>
      <c r="N26" s="18">
        <f>N13+N18+N23</f>
        <v/>
      </c>
      <c r="O26" s="29">
        <f>SUM(C26:N26)</f>
        <v/>
      </c>
    </row>
    <row r="27">
      <c r="B27" s="13" t="inlineStr">
        <is>
          <t xml:space="preserve">    Ingreso promedio por cliente</t>
        </is>
      </c>
      <c r="C27" s="28">
        <f>IFERROR(C26/'Proyección de ventas'!C33,0)</f>
        <v/>
      </c>
      <c r="D27" s="28">
        <f>IFERROR(D26/'Proyección de ventas'!D33,0)</f>
        <v/>
      </c>
      <c r="E27" s="28">
        <f>IFERROR(E26/'Proyección de ventas'!E33,0)</f>
        <v/>
      </c>
      <c r="F27" s="28">
        <f>IFERROR(F26/'Proyección de ventas'!F33,0)</f>
        <v/>
      </c>
      <c r="G27" s="28">
        <f>IFERROR(G26/'Proyección de ventas'!G33,0)</f>
        <v/>
      </c>
      <c r="H27" s="28">
        <f>IFERROR(H26/'Proyección de ventas'!H33,0)</f>
        <v/>
      </c>
      <c r="I27" s="28">
        <f>IFERROR(I26/'Proyección de ventas'!I33,0)</f>
        <v/>
      </c>
      <c r="J27" s="28">
        <f>IFERROR(J26/'Proyección de ventas'!J33,0)</f>
        <v/>
      </c>
      <c r="K27" s="28">
        <f>IFERROR(K26/'Proyección de ventas'!K33,0)</f>
        <v/>
      </c>
      <c r="L27" s="28">
        <f>IFERROR(L26/'Proyección de ventas'!L33,0)</f>
        <v/>
      </c>
      <c r="M27" s="28">
        <f>IFERROR(M26/'Proyección de ventas'!M33,0)</f>
        <v/>
      </c>
      <c r="N27" s="28">
        <f>IFERROR(N26/'Proyección de ventas'!N33,0)</f>
        <v/>
      </c>
    </row>
    <row r="28"/>
    <row r="29"/>
    <row r="30">
      <c r="C30" s="5" t="n">
        <v>2028</v>
      </c>
    </row>
    <row r="31">
      <c r="C31" s="26" t="inlineStr">
        <is>
          <t>Ene</t>
        </is>
      </c>
      <c r="D31" s="26" t="inlineStr">
        <is>
          <t>Feb</t>
        </is>
      </c>
      <c r="E31" s="26" t="inlineStr">
        <is>
          <t>Mar</t>
        </is>
      </c>
      <c r="F31" s="26" t="inlineStr">
        <is>
          <t>Abr</t>
        </is>
      </c>
      <c r="G31" s="26" t="inlineStr">
        <is>
          <t>May</t>
        </is>
      </c>
      <c r="H31" s="26" t="inlineStr">
        <is>
          <t>Jun</t>
        </is>
      </c>
      <c r="I31" s="26" t="inlineStr">
        <is>
          <t>Jul</t>
        </is>
      </c>
      <c r="J31" s="26" t="inlineStr">
        <is>
          <t>Ago</t>
        </is>
      </c>
      <c r="K31" s="26" t="inlineStr">
        <is>
          <t>Sep</t>
        </is>
      </c>
      <c r="L31" s="26" t="inlineStr">
        <is>
          <t>Oct</t>
        </is>
      </c>
      <c r="M31" s="26" t="inlineStr">
        <is>
          <t>Nov</t>
        </is>
      </c>
      <c r="N31" s="26" t="inlineStr">
        <is>
          <t>Dic</t>
        </is>
      </c>
      <c r="O31" s="27" t="inlineStr">
        <is>
          <t>Total 2028</t>
        </is>
      </c>
    </row>
    <row r="32"/>
    <row r="33">
      <c r="B33" s="9" t="inlineStr">
        <is>
          <t>Plan Inicial</t>
        </is>
      </c>
      <c r="C33" s="10" t="n"/>
      <c r="D33" s="10" t="n"/>
      <c r="E33" s="10" t="n"/>
      <c r="F33" s="10" t="n"/>
      <c r="G33" s="10" t="n"/>
      <c r="H33" s="10" t="n"/>
      <c r="I33" s="10" t="n"/>
      <c r="J33" s="10" t="n"/>
      <c r="K33" s="10" t="n"/>
      <c r="L33" s="10" t="n"/>
      <c r="M33" s="10" t="n"/>
      <c r="N33" s="10" t="n"/>
      <c r="O33" s="10" t="n"/>
    </row>
    <row r="34">
      <c r="A34" s="20" t="inlineStr">
        <is>
          <t>PLAN INICIAL</t>
        </is>
      </c>
      <c r="B34" s="13" t="inlineStr">
        <is>
          <t>Ingreso por abono</t>
        </is>
      </c>
      <c r="C34" s="28">
        <f>'Proyección de ventas'!C50*Planes!$D$7*(1+Hipótesis!$D$12)</f>
        <v/>
      </c>
      <c r="D34" s="28">
        <f>'Proyección de ventas'!D50*Planes!$D$7*(1+Hipótesis!$D$12)</f>
        <v/>
      </c>
      <c r="E34" s="28">
        <f>'Proyección de ventas'!E50*Planes!$D$7*(1+Hipótesis!$D$12)</f>
        <v/>
      </c>
      <c r="F34" s="28">
        <f>'Proyección de ventas'!F50*Planes!$D$7*(1+Hipótesis!$D$12)</f>
        <v/>
      </c>
      <c r="G34" s="28">
        <f>'Proyección de ventas'!G50*Planes!$D$7*(1+Hipótesis!$D$12)</f>
        <v/>
      </c>
      <c r="H34" s="28">
        <f>'Proyección de ventas'!H50*Planes!$D$7*(1+Hipótesis!$D$12)</f>
        <v/>
      </c>
      <c r="I34" s="28">
        <f>'Proyección de ventas'!I50*Planes!$D$7*(1+Hipótesis!$D$12)</f>
        <v/>
      </c>
      <c r="J34" s="28">
        <f>'Proyección de ventas'!J50*Planes!$D$7*(1+Hipótesis!$D$12)</f>
        <v/>
      </c>
      <c r="K34" s="28">
        <f>'Proyección de ventas'!K50*Planes!$D$7*(1+Hipótesis!$D$12)</f>
        <v/>
      </c>
      <c r="L34" s="28">
        <f>'Proyección de ventas'!L50*Planes!$D$7*(1+Hipótesis!$D$12)</f>
        <v/>
      </c>
      <c r="M34" s="28">
        <f>'Proyección de ventas'!M50*Planes!$D$7*(1+Hipótesis!$D$12)</f>
        <v/>
      </c>
      <c r="N34" s="28">
        <f>'Proyección de ventas'!N50*Planes!$D$7*(1+Hipótesis!$D$12)</f>
        <v/>
      </c>
      <c r="O34" s="29">
        <f>SUM(C34:N34)</f>
        <v/>
      </c>
    </row>
    <row r="35">
      <c r="B35" s="13" t="inlineStr">
        <is>
          <t xml:space="preserve">    Ingreso por equipos adicionales</t>
        </is>
      </c>
      <c r="C35" s="28">
        <f>'Proyección de ventas'!C50*MAX(0,Hipótesis!$D$51-Planes!$E$7)*Planes!$F$7*(1+Hipótesis!$D$12)</f>
        <v/>
      </c>
      <c r="D35" s="28">
        <f>'Proyección de ventas'!D50*MAX(0,Hipótesis!$D$51-Planes!$E$7)*Planes!$F$7*(1+Hipótesis!$D$12)</f>
        <v/>
      </c>
      <c r="E35" s="28">
        <f>'Proyección de ventas'!E50*MAX(0,Hipótesis!$D$51-Planes!$E$7)*Planes!$F$7*(1+Hipótesis!$D$12)</f>
        <v/>
      </c>
      <c r="F35" s="28">
        <f>'Proyección de ventas'!F50*MAX(0,Hipótesis!$D$51-Planes!$E$7)*Planes!$F$7*(1+Hipótesis!$D$12)</f>
        <v/>
      </c>
      <c r="G35" s="28">
        <f>'Proyección de ventas'!G50*MAX(0,Hipótesis!$D$51-Planes!$E$7)*Planes!$F$7*(1+Hipótesis!$D$12)</f>
        <v/>
      </c>
      <c r="H35" s="28">
        <f>'Proyección de ventas'!H50*MAX(0,Hipótesis!$D$51-Planes!$E$7)*Planes!$F$7*(1+Hipótesis!$D$12)</f>
        <v/>
      </c>
      <c r="I35" s="28">
        <f>'Proyección de ventas'!I50*MAX(0,Hipótesis!$D$51-Planes!$E$7)*Planes!$F$7*(1+Hipótesis!$D$12)</f>
        <v/>
      </c>
      <c r="J35" s="28">
        <f>'Proyección de ventas'!J50*MAX(0,Hipótesis!$D$51-Planes!$E$7)*Planes!$F$7*(1+Hipótesis!$D$12)</f>
        <v/>
      </c>
      <c r="K35" s="28">
        <f>'Proyección de ventas'!K50*MAX(0,Hipótesis!$D$51-Planes!$E$7)*Planes!$F$7*(1+Hipótesis!$D$12)</f>
        <v/>
      </c>
      <c r="L35" s="28">
        <f>'Proyección de ventas'!L50*MAX(0,Hipótesis!$D$51-Planes!$E$7)*Planes!$F$7*(1+Hipótesis!$D$12)</f>
        <v/>
      </c>
      <c r="M35" s="28">
        <f>'Proyección de ventas'!M50*MAX(0,Hipótesis!$D$51-Planes!$E$7)*Planes!$F$7*(1+Hipótesis!$D$12)</f>
        <v/>
      </c>
      <c r="N35" s="28">
        <f>'Proyección de ventas'!N50*MAX(0,Hipótesis!$D$51-Planes!$E$7)*Planes!$F$7*(1+Hipótesis!$D$12)</f>
        <v/>
      </c>
      <c r="O35" s="29">
        <f>SUM(C35:N35)</f>
        <v/>
      </c>
    </row>
    <row r="36">
      <c r="B36" s="20" t="inlineStr">
        <is>
          <t>Total de la línea</t>
        </is>
      </c>
      <c r="C36" s="18">
        <f>C34+C35</f>
        <v/>
      </c>
      <c r="D36" s="18">
        <f>D34+D35</f>
        <v/>
      </c>
      <c r="E36" s="18">
        <f>E34+E35</f>
        <v/>
      </c>
      <c r="F36" s="18">
        <f>F34+F35</f>
        <v/>
      </c>
      <c r="G36" s="18">
        <f>G34+G35</f>
        <v/>
      </c>
      <c r="H36" s="18">
        <f>H34+H35</f>
        <v/>
      </c>
      <c r="I36" s="18">
        <f>I34+I35</f>
        <v/>
      </c>
      <c r="J36" s="18">
        <f>J34+J35</f>
        <v/>
      </c>
      <c r="K36" s="18">
        <f>K34+K35</f>
        <v/>
      </c>
      <c r="L36" s="18">
        <f>L34+L35</f>
        <v/>
      </c>
      <c r="M36" s="18">
        <f>M34+M35</f>
        <v/>
      </c>
      <c r="N36" s="18">
        <f>N34+N35</f>
        <v/>
      </c>
      <c r="O36" s="29">
        <f>SUM(C36:N36)</f>
        <v/>
      </c>
    </row>
    <row r="37"/>
    <row r="38">
      <c r="B38" s="9" t="inlineStr">
        <is>
          <t>Plan Estándar</t>
        </is>
      </c>
      <c r="C38" s="10" t="n"/>
      <c r="D38" s="10" t="n"/>
      <c r="E38" s="10" t="n"/>
      <c r="F38" s="10" t="n"/>
      <c r="G38" s="10" t="n"/>
      <c r="H38" s="10" t="n"/>
      <c r="I38" s="10" t="n"/>
      <c r="J38" s="10" t="n"/>
      <c r="K38" s="10" t="n"/>
      <c r="L38" s="10" t="n"/>
      <c r="M38" s="10" t="n"/>
      <c r="N38" s="10" t="n"/>
      <c r="O38" s="10" t="n"/>
    </row>
    <row r="39">
      <c r="A39" s="20" t="inlineStr">
        <is>
          <t>PLAN ESTÁNDAR</t>
        </is>
      </c>
      <c r="B39" s="13" t="inlineStr">
        <is>
          <t>Ingreso por abono</t>
        </is>
      </c>
      <c r="C39" s="28">
        <f>'Proyección de ventas'!C56*Planes!$D$8*(1+Hipótesis!$D$12)</f>
        <v/>
      </c>
      <c r="D39" s="28">
        <f>'Proyección de ventas'!D56*Planes!$D$8*(1+Hipótesis!$D$12)</f>
        <v/>
      </c>
      <c r="E39" s="28">
        <f>'Proyección de ventas'!E56*Planes!$D$8*(1+Hipótesis!$D$12)</f>
        <v/>
      </c>
      <c r="F39" s="28">
        <f>'Proyección de ventas'!F56*Planes!$D$8*(1+Hipótesis!$D$12)</f>
        <v/>
      </c>
      <c r="G39" s="28">
        <f>'Proyección de ventas'!G56*Planes!$D$8*(1+Hipótesis!$D$12)</f>
        <v/>
      </c>
      <c r="H39" s="28">
        <f>'Proyección de ventas'!H56*Planes!$D$8*(1+Hipótesis!$D$12)</f>
        <v/>
      </c>
      <c r="I39" s="28">
        <f>'Proyección de ventas'!I56*Planes!$D$8*(1+Hipótesis!$D$12)</f>
        <v/>
      </c>
      <c r="J39" s="28">
        <f>'Proyección de ventas'!J56*Planes!$D$8*(1+Hipótesis!$D$12)</f>
        <v/>
      </c>
      <c r="K39" s="28">
        <f>'Proyección de ventas'!K56*Planes!$D$8*(1+Hipótesis!$D$12)</f>
        <v/>
      </c>
      <c r="L39" s="28">
        <f>'Proyección de ventas'!L56*Planes!$D$8*(1+Hipótesis!$D$12)</f>
        <v/>
      </c>
      <c r="M39" s="28">
        <f>'Proyección de ventas'!M56*Planes!$D$8*(1+Hipótesis!$D$12)</f>
        <v/>
      </c>
      <c r="N39" s="28">
        <f>'Proyección de ventas'!N56*Planes!$D$8*(1+Hipótesis!$D$12)</f>
        <v/>
      </c>
      <c r="O39" s="29">
        <f>SUM(C39:N39)</f>
        <v/>
      </c>
    </row>
    <row r="40">
      <c r="B40" s="13" t="inlineStr">
        <is>
          <t xml:space="preserve">    Ingreso por equipos adicionales</t>
        </is>
      </c>
      <c r="C40" s="28">
        <f>'Proyección de ventas'!C56*MAX(0,Hipótesis!$D$52-Planes!$E$8)*Planes!$F$8*(1+Hipótesis!$D$12)</f>
        <v/>
      </c>
      <c r="D40" s="28">
        <f>'Proyección de ventas'!D56*MAX(0,Hipótesis!$D$52-Planes!$E$8)*Planes!$F$8*(1+Hipótesis!$D$12)</f>
        <v/>
      </c>
      <c r="E40" s="28">
        <f>'Proyección de ventas'!E56*MAX(0,Hipótesis!$D$52-Planes!$E$8)*Planes!$F$8*(1+Hipótesis!$D$12)</f>
        <v/>
      </c>
      <c r="F40" s="28">
        <f>'Proyección de ventas'!F56*MAX(0,Hipótesis!$D$52-Planes!$E$8)*Planes!$F$8*(1+Hipótesis!$D$12)</f>
        <v/>
      </c>
      <c r="G40" s="28">
        <f>'Proyección de ventas'!G56*MAX(0,Hipótesis!$D$52-Planes!$E$8)*Planes!$F$8*(1+Hipótesis!$D$12)</f>
        <v/>
      </c>
      <c r="H40" s="28">
        <f>'Proyección de ventas'!H56*MAX(0,Hipótesis!$D$52-Planes!$E$8)*Planes!$F$8*(1+Hipótesis!$D$12)</f>
        <v/>
      </c>
      <c r="I40" s="28">
        <f>'Proyección de ventas'!I56*MAX(0,Hipótesis!$D$52-Planes!$E$8)*Planes!$F$8*(1+Hipótesis!$D$12)</f>
        <v/>
      </c>
      <c r="J40" s="28">
        <f>'Proyección de ventas'!J56*MAX(0,Hipótesis!$D$52-Planes!$E$8)*Planes!$F$8*(1+Hipótesis!$D$12)</f>
        <v/>
      </c>
      <c r="K40" s="28">
        <f>'Proyección de ventas'!K56*MAX(0,Hipótesis!$D$52-Planes!$E$8)*Planes!$F$8*(1+Hipótesis!$D$12)</f>
        <v/>
      </c>
      <c r="L40" s="28">
        <f>'Proyección de ventas'!L56*MAX(0,Hipótesis!$D$52-Planes!$E$8)*Planes!$F$8*(1+Hipótesis!$D$12)</f>
        <v/>
      </c>
      <c r="M40" s="28">
        <f>'Proyección de ventas'!M56*MAX(0,Hipótesis!$D$52-Planes!$E$8)*Planes!$F$8*(1+Hipótesis!$D$12)</f>
        <v/>
      </c>
      <c r="N40" s="28">
        <f>'Proyección de ventas'!N56*MAX(0,Hipótesis!$D$52-Planes!$E$8)*Planes!$F$8*(1+Hipótesis!$D$12)</f>
        <v/>
      </c>
      <c r="O40" s="29">
        <f>SUM(C40:N40)</f>
        <v/>
      </c>
    </row>
    <row r="41">
      <c r="B41" s="20" t="inlineStr">
        <is>
          <t>Total de la línea</t>
        </is>
      </c>
      <c r="C41" s="18">
        <f>C39+C40</f>
        <v/>
      </c>
      <c r="D41" s="18">
        <f>D39+D40</f>
        <v/>
      </c>
      <c r="E41" s="18">
        <f>E39+E40</f>
        <v/>
      </c>
      <c r="F41" s="18">
        <f>F39+F40</f>
        <v/>
      </c>
      <c r="G41" s="18">
        <f>G39+G40</f>
        <v/>
      </c>
      <c r="H41" s="18">
        <f>H39+H40</f>
        <v/>
      </c>
      <c r="I41" s="18">
        <f>I39+I40</f>
        <v/>
      </c>
      <c r="J41" s="18">
        <f>J39+J40</f>
        <v/>
      </c>
      <c r="K41" s="18">
        <f>K39+K40</f>
        <v/>
      </c>
      <c r="L41" s="18">
        <f>L39+L40</f>
        <v/>
      </c>
      <c r="M41" s="18">
        <f>M39+M40</f>
        <v/>
      </c>
      <c r="N41" s="18">
        <f>N39+N40</f>
        <v/>
      </c>
      <c r="O41" s="29">
        <f>SUM(C41:N41)</f>
        <v/>
      </c>
    </row>
    <row r="42"/>
    <row r="43">
      <c r="B43" s="9" t="inlineStr">
        <is>
          <t>Plan Partner</t>
        </is>
      </c>
      <c r="C43" s="10" t="n"/>
      <c r="D43" s="10" t="n"/>
      <c r="E43" s="10" t="n"/>
      <c r="F43" s="10" t="n"/>
      <c r="G43" s="10" t="n"/>
      <c r="H43" s="10" t="n"/>
      <c r="I43" s="10" t="n"/>
      <c r="J43" s="10" t="n"/>
      <c r="K43" s="10" t="n"/>
      <c r="L43" s="10" t="n"/>
      <c r="M43" s="10" t="n"/>
      <c r="N43" s="10" t="n"/>
      <c r="O43" s="10" t="n"/>
    </row>
    <row r="44">
      <c r="A44" s="20" t="inlineStr">
        <is>
          <t>PLAN PARTNER</t>
        </is>
      </c>
      <c r="B44" s="13" t="inlineStr">
        <is>
          <t>Ingreso por abono</t>
        </is>
      </c>
      <c r="C44" s="28">
        <f>'Proyección de ventas'!C60*Planes!$D$9*(1+Hipótesis!$D$12)</f>
        <v/>
      </c>
      <c r="D44" s="28">
        <f>'Proyección de ventas'!D60*Planes!$D$9*(1+Hipótesis!$D$12)</f>
        <v/>
      </c>
      <c r="E44" s="28">
        <f>'Proyección de ventas'!E60*Planes!$D$9*(1+Hipótesis!$D$12)</f>
        <v/>
      </c>
      <c r="F44" s="28">
        <f>'Proyección de ventas'!F60*Planes!$D$9*(1+Hipótesis!$D$12)</f>
        <v/>
      </c>
      <c r="G44" s="28">
        <f>'Proyección de ventas'!G60*Planes!$D$9*(1+Hipótesis!$D$12)</f>
        <v/>
      </c>
      <c r="H44" s="28">
        <f>'Proyección de ventas'!H60*Planes!$D$9*(1+Hipótesis!$D$12)</f>
        <v/>
      </c>
      <c r="I44" s="28">
        <f>'Proyección de ventas'!I60*Planes!$D$9*(1+Hipótesis!$D$12)</f>
        <v/>
      </c>
      <c r="J44" s="28">
        <f>'Proyección de ventas'!J60*Planes!$D$9*(1+Hipótesis!$D$12)</f>
        <v/>
      </c>
      <c r="K44" s="28">
        <f>'Proyección de ventas'!K60*Planes!$D$9*(1+Hipótesis!$D$12)</f>
        <v/>
      </c>
      <c r="L44" s="28">
        <f>'Proyección de ventas'!L60*Planes!$D$9*(1+Hipótesis!$D$12)</f>
        <v/>
      </c>
      <c r="M44" s="28">
        <f>'Proyección de ventas'!M60*Planes!$D$9*(1+Hipótesis!$D$12)</f>
        <v/>
      </c>
      <c r="N44" s="28">
        <f>'Proyección de ventas'!N60*Planes!$D$9*(1+Hipótesis!$D$12)</f>
        <v/>
      </c>
      <c r="O44" s="29">
        <f>SUM(C44:N44)</f>
        <v/>
      </c>
    </row>
    <row r="45">
      <c r="B45" s="13" t="inlineStr">
        <is>
          <t xml:space="preserve">    Ingreso por equipos adicionales</t>
        </is>
      </c>
      <c r="C45" s="28">
        <f>'Proyección de ventas'!C60*MAX(0,Hipótesis!$D$53-Planes!$E$9)*Planes!$F$9*(1+Hipótesis!$D$12)</f>
        <v/>
      </c>
      <c r="D45" s="28">
        <f>'Proyección de ventas'!D60*MAX(0,Hipótesis!$D$53-Planes!$E$9)*Planes!$F$9*(1+Hipótesis!$D$12)</f>
        <v/>
      </c>
      <c r="E45" s="28">
        <f>'Proyección de ventas'!E60*MAX(0,Hipótesis!$D$53-Planes!$E$9)*Planes!$F$9*(1+Hipótesis!$D$12)</f>
        <v/>
      </c>
      <c r="F45" s="28">
        <f>'Proyección de ventas'!F60*MAX(0,Hipótesis!$D$53-Planes!$E$9)*Planes!$F$9*(1+Hipótesis!$D$12)</f>
        <v/>
      </c>
      <c r="G45" s="28">
        <f>'Proyección de ventas'!G60*MAX(0,Hipótesis!$D$53-Planes!$E$9)*Planes!$F$9*(1+Hipótesis!$D$12)</f>
        <v/>
      </c>
      <c r="H45" s="28">
        <f>'Proyección de ventas'!H60*MAX(0,Hipótesis!$D$53-Planes!$E$9)*Planes!$F$9*(1+Hipótesis!$D$12)</f>
        <v/>
      </c>
      <c r="I45" s="28">
        <f>'Proyección de ventas'!I60*MAX(0,Hipótesis!$D$53-Planes!$E$9)*Planes!$F$9*(1+Hipótesis!$D$12)</f>
        <v/>
      </c>
      <c r="J45" s="28">
        <f>'Proyección de ventas'!J60*MAX(0,Hipótesis!$D$53-Planes!$E$9)*Planes!$F$9*(1+Hipótesis!$D$12)</f>
        <v/>
      </c>
      <c r="K45" s="28">
        <f>'Proyección de ventas'!K60*MAX(0,Hipótesis!$D$53-Planes!$E$9)*Planes!$F$9*(1+Hipótesis!$D$12)</f>
        <v/>
      </c>
      <c r="L45" s="28">
        <f>'Proyección de ventas'!L60*MAX(0,Hipótesis!$D$53-Planes!$E$9)*Planes!$F$9*(1+Hipótesis!$D$12)</f>
        <v/>
      </c>
      <c r="M45" s="28">
        <f>'Proyección de ventas'!M60*MAX(0,Hipótesis!$D$53-Planes!$E$9)*Planes!$F$9*(1+Hipótesis!$D$12)</f>
        <v/>
      </c>
      <c r="N45" s="28">
        <f>'Proyección de ventas'!N60*MAX(0,Hipótesis!$D$53-Planes!$E$9)*Planes!$F$9*(1+Hipótesis!$D$12)</f>
        <v/>
      </c>
      <c r="O45" s="29">
        <f>SUM(C45:N45)</f>
        <v/>
      </c>
    </row>
    <row r="46">
      <c r="B46" s="20" t="inlineStr">
        <is>
          <t>Total de la línea</t>
        </is>
      </c>
      <c r="C46" s="18">
        <f>C44+C45</f>
        <v/>
      </c>
      <c r="D46" s="18">
        <f>D44+D45</f>
        <v/>
      </c>
      <c r="E46" s="18">
        <f>E44+E45</f>
        <v/>
      </c>
      <c r="F46" s="18">
        <f>F44+F45</f>
        <v/>
      </c>
      <c r="G46" s="18">
        <f>G44+G45</f>
        <v/>
      </c>
      <c r="H46" s="18">
        <f>H44+H45</f>
        <v/>
      </c>
      <c r="I46" s="18">
        <f>I44+I45</f>
        <v/>
      </c>
      <c r="J46" s="18">
        <f>J44+J45</f>
        <v/>
      </c>
      <c r="K46" s="18">
        <f>K44+K45</f>
        <v/>
      </c>
      <c r="L46" s="18">
        <f>L44+L45</f>
        <v/>
      </c>
      <c r="M46" s="18">
        <f>M44+M45</f>
        <v/>
      </c>
      <c r="N46" s="18">
        <f>N44+N45</f>
        <v/>
      </c>
      <c r="O46" s="29">
        <f>SUM(C46:N46)</f>
        <v/>
      </c>
    </row>
    <row r="47"/>
    <row r="48">
      <c r="B48" s="9" t="inlineStr">
        <is>
          <t>Total de ingresos</t>
        </is>
      </c>
      <c r="C48" s="10" t="n"/>
      <c r="D48" s="10" t="n"/>
      <c r="E48" s="10" t="n"/>
      <c r="F48" s="10" t="n"/>
      <c r="G48" s="10" t="n"/>
      <c r="H48" s="10" t="n"/>
      <c r="I48" s="10" t="n"/>
      <c r="J48" s="10" t="n"/>
      <c r="K48" s="10" t="n"/>
      <c r="L48" s="10" t="n"/>
      <c r="M48" s="10" t="n"/>
      <c r="N48" s="10" t="n"/>
      <c r="O48" s="10" t="n"/>
    </row>
    <row r="49">
      <c r="A49" s="20" t="inlineStr">
        <is>
          <t>TOTAL</t>
        </is>
      </c>
      <c r="B49" s="20" t="inlineStr">
        <is>
          <t>Ingresos del mes</t>
        </is>
      </c>
      <c r="C49" s="18">
        <f>C36+C41+C46</f>
        <v/>
      </c>
      <c r="D49" s="18">
        <f>D36+D41+D46</f>
        <v/>
      </c>
      <c r="E49" s="18">
        <f>E36+E41+E46</f>
        <v/>
      </c>
      <c r="F49" s="18">
        <f>F36+F41+F46</f>
        <v/>
      </c>
      <c r="G49" s="18">
        <f>G36+G41+G46</f>
        <v/>
      </c>
      <c r="H49" s="18">
        <f>H36+H41+H46</f>
        <v/>
      </c>
      <c r="I49" s="18">
        <f>I36+I41+I46</f>
        <v/>
      </c>
      <c r="J49" s="18">
        <f>J36+J41+J46</f>
        <v/>
      </c>
      <c r="K49" s="18">
        <f>K36+K41+K46</f>
        <v/>
      </c>
      <c r="L49" s="18">
        <f>L36+L41+L46</f>
        <v/>
      </c>
      <c r="M49" s="18">
        <f>M36+M41+M46</f>
        <v/>
      </c>
      <c r="N49" s="18">
        <f>N36+N41+N46</f>
        <v/>
      </c>
      <c r="O49" s="29">
        <f>SUM(C49:N49)</f>
        <v/>
      </c>
    </row>
    <row r="50">
      <c r="B50" s="13" t="inlineStr">
        <is>
          <t xml:space="preserve">    Ingreso promedio por cliente</t>
        </is>
      </c>
      <c r="C50" s="28">
        <f>IFERROR(C49/'Proyección de ventas'!C63,0)</f>
        <v/>
      </c>
      <c r="D50" s="28">
        <f>IFERROR(D49/'Proyección de ventas'!D63,0)</f>
        <v/>
      </c>
      <c r="E50" s="28">
        <f>IFERROR(E49/'Proyección de ventas'!E63,0)</f>
        <v/>
      </c>
      <c r="F50" s="28">
        <f>IFERROR(F49/'Proyección de ventas'!F63,0)</f>
        <v/>
      </c>
      <c r="G50" s="28">
        <f>IFERROR(G49/'Proyección de ventas'!G63,0)</f>
        <v/>
      </c>
      <c r="H50" s="28">
        <f>IFERROR(H49/'Proyección de ventas'!H63,0)</f>
        <v/>
      </c>
      <c r="I50" s="28">
        <f>IFERROR(I49/'Proyección de ventas'!I63,0)</f>
        <v/>
      </c>
      <c r="J50" s="28">
        <f>IFERROR(J49/'Proyección de ventas'!J63,0)</f>
        <v/>
      </c>
      <c r="K50" s="28">
        <f>IFERROR(K49/'Proyección de ventas'!K63,0)</f>
        <v/>
      </c>
      <c r="L50" s="28">
        <f>IFERROR(L49/'Proyección de ventas'!L63,0)</f>
        <v/>
      </c>
      <c r="M50" s="28">
        <f>IFERROR(M49/'Proyección de ventas'!M63,0)</f>
        <v/>
      </c>
      <c r="N50" s="28">
        <f>IFERROR(N49/'Proyección de ventas'!N63,0)</f>
        <v/>
      </c>
    </row>
    <row r="51"/>
    <row r="52"/>
    <row r="53">
      <c r="C53" s="5" t="n">
        <v>2029</v>
      </c>
    </row>
    <row r="54">
      <c r="C54" s="26" t="inlineStr">
        <is>
          <t>Ene</t>
        </is>
      </c>
      <c r="D54" s="26" t="inlineStr">
        <is>
          <t>Feb</t>
        </is>
      </c>
      <c r="E54" s="26" t="inlineStr">
        <is>
          <t>Mar</t>
        </is>
      </c>
      <c r="F54" s="26" t="inlineStr">
        <is>
          <t>Abr</t>
        </is>
      </c>
      <c r="G54" s="26" t="inlineStr">
        <is>
          <t>May</t>
        </is>
      </c>
      <c r="H54" s="26" t="inlineStr">
        <is>
          <t>Jun</t>
        </is>
      </c>
      <c r="I54" s="26" t="inlineStr">
        <is>
          <t>Jul</t>
        </is>
      </c>
      <c r="J54" s="26" t="inlineStr">
        <is>
          <t>Ago</t>
        </is>
      </c>
      <c r="K54" s="26" t="inlineStr">
        <is>
          <t>Sep</t>
        </is>
      </c>
      <c r="L54" s="26" t="inlineStr">
        <is>
          <t>Oct</t>
        </is>
      </c>
      <c r="M54" s="26" t="inlineStr">
        <is>
          <t>Nov</t>
        </is>
      </c>
      <c r="N54" s="26" t="inlineStr">
        <is>
          <t>Dic</t>
        </is>
      </c>
      <c r="O54" s="27" t="inlineStr">
        <is>
          <t>Total 2029</t>
        </is>
      </c>
    </row>
    <row r="55"/>
    <row r="56">
      <c r="B56" s="9" t="inlineStr">
        <is>
          <t>Plan Inicial</t>
        </is>
      </c>
      <c r="C56" s="10" t="n"/>
      <c r="D56" s="10" t="n"/>
      <c r="E56" s="10" t="n"/>
      <c r="F56" s="10" t="n"/>
      <c r="G56" s="10" t="n"/>
      <c r="H56" s="10" t="n"/>
      <c r="I56" s="10" t="n"/>
      <c r="J56" s="10" t="n"/>
      <c r="K56" s="10" t="n"/>
      <c r="L56" s="10" t="n"/>
      <c r="M56" s="10" t="n"/>
      <c r="N56" s="10" t="n"/>
      <c r="O56" s="10" t="n"/>
    </row>
    <row r="57">
      <c r="A57" s="20" t="inlineStr">
        <is>
          <t>PLAN INICIAL</t>
        </is>
      </c>
      <c r="B57" s="13" t="inlineStr">
        <is>
          <t>Ingreso por abono</t>
        </is>
      </c>
      <c r="C57" s="28">
        <f>'Proyección de ventas'!C80*Planes!$D$7*(1+Hipótesis!$D$12)*(1+Hipótesis!$E$12)</f>
        <v/>
      </c>
      <c r="D57" s="28">
        <f>'Proyección de ventas'!D80*Planes!$D$7*(1+Hipótesis!$D$12)*(1+Hipótesis!$E$12)</f>
        <v/>
      </c>
      <c r="E57" s="28">
        <f>'Proyección de ventas'!E80*Planes!$D$7*(1+Hipótesis!$D$12)*(1+Hipótesis!$E$12)</f>
        <v/>
      </c>
      <c r="F57" s="28">
        <f>'Proyección de ventas'!F80*Planes!$D$7*(1+Hipótesis!$D$12)*(1+Hipótesis!$E$12)</f>
        <v/>
      </c>
      <c r="G57" s="28">
        <f>'Proyección de ventas'!G80*Planes!$D$7*(1+Hipótesis!$D$12)*(1+Hipótesis!$E$12)</f>
        <v/>
      </c>
      <c r="H57" s="28">
        <f>'Proyección de ventas'!H80*Planes!$D$7*(1+Hipótesis!$D$12)*(1+Hipótesis!$E$12)</f>
        <v/>
      </c>
      <c r="I57" s="28">
        <f>'Proyección de ventas'!I80*Planes!$D$7*(1+Hipótesis!$D$12)*(1+Hipótesis!$E$12)</f>
        <v/>
      </c>
      <c r="J57" s="28">
        <f>'Proyección de ventas'!J80*Planes!$D$7*(1+Hipótesis!$D$12)*(1+Hipótesis!$E$12)</f>
        <v/>
      </c>
      <c r="K57" s="28">
        <f>'Proyección de ventas'!K80*Planes!$D$7*(1+Hipótesis!$D$12)*(1+Hipótesis!$E$12)</f>
        <v/>
      </c>
      <c r="L57" s="28">
        <f>'Proyección de ventas'!L80*Planes!$D$7*(1+Hipótesis!$D$12)*(1+Hipótesis!$E$12)</f>
        <v/>
      </c>
      <c r="M57" s="28">
        <f>'Proyección de ventas'!M80*Planes!$D$7*(1+Hipótesis!$D$12)*(1+Hipótesis!$E$12)</f>
        <v/>
      </c>
      <c r="N57" s="28">
        <f>'Proyección de ventas'!N80*Planes!$D$7*(1+Hipótesis!$D$12)*(1+Hipótesis!$E$12)</f>
        <v/>
      </c>
      <c r="O57" s="29">
        <f>SUM(C57:N57)</f>
        <v/>
      </c>
    </row>
    <row r="58">
      <c r="B58" s="13" t="inlineStr">
        <is>
          <t xml:space="preserve">    Ingreso por equipos adicionales</t>
        </is>
      </c>
      <c r="C58" s="28">
        <f>'Proyección de ventas'!C80*MAX(0,Hipótesis!$E$51-Planes!$E$7)*Planes!$F$7*(1+Hipótesis!$D$12)*(1+Hipótesis!$E$12)</f>
        <v/>
      </c>
      <c r="D58" s="28">
        <f>'Proyección de ventas'!D80*MAX(0,Hipótesis!$E$51-Planes!$E$7)*Planes!$F$7*(1+Hipótesis!$D$12)*(1+Hipótesis!$E$12)</f>
        <v/>
      </c>
      <c r="E58" s="28">
        <f>'Proyección de ventas'!E80*MAX(0,Hipótesis!$E$51-Planes!$E$7)*Planes!$F$7*(1+Hipótesis!$D$12)*(1+Hipótesis!$E$12)</f>
        <v/>
      </c>
      <c r="F58" s="28">
        <f>'Proyección de ventas'!F80*MAX(0,Hipótesis!$E$51-Planes!$E$7)*Planes!$F$7*(1+Hipótesis!$D$12)*(1+Hipótesis!$E$12)</f>
        <v/>
      </c>
      <c r="G58" s="28">
        <f>'Proyección de ventas'!G80*MAX(0,Hipótesis!$E$51-Planes!$E$7)*Planes!$F$7*(1+Hipótesis!$D$12)*(1+Hipótesis!$E$12)</f>
        <v/>
      </c>
      <c r="H58" s="28">
        <f>'Proyección de ventas'!H80*MAX(0,Hipótesis!$E$51-Planes!$E$7)*Planes!$F$7*(1+Hipótesis!$D$12)*(1+Hipótesis!$E$12)</f>
        <v/>
      </c>
      <c r="I58" s="28">
        <f>'Proyección de ventas'!I80*MAX(0,Hipótesis!$E$51-Planes!$E$7)*Planes!$F$7*(1+Hipótesis!$D$12)*(1+Hipótesis!$E$12)</f>
        <v/>
      </c>
      <c r="J58" s="28">
        <f>'Proyección de ventas'!J80*MAX(0,Hipótesis!$E$51-Planes!$E$7)*Planes!$F$7*(1+Hipótesis!$D$12)*(1+Hipótesis!$E$12)</f>
        <v/>
      </c>
      <c r="K58" s="28">
        <f>'Proyección de ventas'!K80*MAX(0,Hipótesis!$E$51-Planes!$E$7)*Planes!$F$7*(1+Hipótesis!$D$12)*(1+Hipótesis!$E$12)</f>
        <v/>
      </c>
      <c r="L58" s="28">
        <f>'Proyección de ventas'!L80*MAX(0,Hipótesis!$E$51-Planes!$E$7)*Planes!$F$7*(1+Hipótesis!$D$12)*(1+Hipótesis!$E$12)</f>
        <v/>
      </c>
      <c r="M58" s="28">
        <f>'Proyección de ventas'!M80*MAX(0,Hipótesis!$E$51-Planes!$E$7)*Planes!$F$7*(1+Hipótesis!$D$12)*(1+Hipótesis!$E$12)</f>
        <v/>
      </c>
      <c r="N58" s="28">
        <f>'Proyección de ventas'!N80*MAX(0,Hipótesis!$E$51-Planes!$E$7)*Planes!$F$7*(1+Hipótesis!$D$12)*(1+Hipótesis!$E$12)</f>
        <v/>
      </c>
      <c r="O58" s="29">
        <f>SUM(C58:N58)</f>
        <v/>
      </c>
    </row>
    <row r="59">
      <c r="B59" s="20" t="inlineStr">
        <is>
          <t>Total de la línea</t>
        </is>
      </c>
      <c r="C59" s="18">
        <f>C57+C58</f>
        <v/>
      </c>
      <c r="D59" s="18">
        <f>D57+D58</f>
        <v/>
      </c>
      <c r="E59" s="18">
        <f>E57+E58</f>
        <v/>
      </c>
      <c r="F59" s="18">
        <f>F57+F58</f>
        <v/>
      </c>
      <c r="G59" s="18">
        <f>G57+G58</f>
        <v/>
      </c>
      <c r="H59" s="18">
        <f>H57+H58</f>
        <v/>
      </c>
      <c r="I59" s="18">
        <f>I57+I58</f>
        <v/>
      </c>
      <c r="J59" s="18">
        <f>J57+J58</f>
        <v/>
      </c>
      <c r="K59" s="18">
        <f>K57+K58</f>
        <v/>
      </c>
      <c r="L59" s="18">
        <f>L57+L58</f>
        <v/>
      </c>
      <c r="M59" s="18">
        <f>M57+M58</f>
        <v/>
      </c>
      <c r="N59" s="18">
        <f>N57+N58</f>
        <v/>
      </c>
      <c r="O59" s="29">
        <f>SUM(C59:N59)</f>
        <v/>
      </c>
    </row>
    <row r="60"/>
    <row r="61">
      <c r="B61" s="9" t="inlineStr">
        <is>
          <t>Plan Estándar</t>
        </is>
      </c>
      <c r="C61" s="10" t="n"/>
      <c r="D61" s="10" t="n"/>
      <c r="E61" s="10" t="n"/>
      <c r="F61" s="10" t="n"/>
      <c r="G61" s="10" t="n"/>
      <c r="H61" s="10" t="n"/>
      <c r="I61" s="10" t="n"/>
      <c r="J61" s="10" t="n"/>
      <c r="K61" s="10" t="n"/>
      <c r="L61" s="10" t="n"/>
      <c r="M61" s="10" t="n"/>
      <c r="N61" s="10" t="n"/>
      <c r="O61" s="10" t="n"/>
    </row>
    <row r="62">
      <c r="A62" s="20" t="inlineStr">
        <is>
          <t>PLAN ESTÁNDAR</t>
        </is>
      </c>
      <c r="B62" s="13" t="inlineStr">
        <is>
          <t>Ingreso por abono</t>
        </is>
      </c>
      <c r="C62" s="28">
        <f>'Proyección de ventas'!C86*Planes!$D$8*(1+Hipótesis!$D$12)*(1+Hipótesis!$E$12)</f>
        <v/>
      </c>
      <c r="D62" s="28">
        <f>'Proyección de ventas'!D86*Planes!$D$8*(1+Hipótesis!$D$12)*(1+Hipótesis!$E$12)</f>
        <v/>
      </c>
      <c r="E62" s="28">
        <f>'Proyección de ventas'!E86*Planes!$D$8*(1+Hipótesis!$D$12)*(1+Hipótesis!$E$12)</f>
        <v/>
      </c>
      <c r="F62" s="28">
        <f>'Proyección de ventas'!F86*Planes!$D$8*(1+Hipótesis!$D$12)*(1+Hipótesis!$E$12)</f>
        <v/>
      </c>
      <c r="G62" s="28">
        <f>'Proyección de ventas'!G86*Planes!$D$8*(1+Hipótesis!$D$12)*(1+Hipótesis!$E$12)</f>
        <v/>
      </c>
      <c r="H62" s="28">
        <f>'Proyección de ventas'!H86*Planes!$D$8*(1+Hipótesis!$D$12)*(1+Hipótesis!$E$12)</f>
        <v/>
      </c>
      <c r="I62" s="28">
        <f>'Proyección de ventas'!I86*Planes!$D$8*(1+Hipótesis!$D$12)*(1+Hipótesis!$E$12)</f>
        <v/>
      </c>
      <c r="J62" s="28">
        <f>'Proyección de ventas'!J86*Planes!$D$8*(1+Hipótesis!$D$12)*(1+Hipótesis!$E$12)</f>
        <v/>
      </c>
      <c r="K62" s="28">
        <f>'Proyección de ventas'!K86*Planes!$D$8*(1+Hipótesis!$D$12)*(1+Hipótesis!$E$12)</f>
        <v/>
      </c>
      <c r="L62" s="28">
        <f>'Proyección de ventas'!L86*Planes!$D$8*(1+Hipótesis!$D$12)*(1+Hipótesis!$E$12)</f>
        <v/>
      </c>
      <c r="M62" s="28">
        <f>'Proyección de ventas'!M86*Planes!$D$8*(1+Hipótesis!$D$12)*(1+Hipótesis!$E$12)</f>
        <v/>
      </c>
      <c r="N62" s="28">
        <f>'Proyección de ventas'!N86*Planes!$D$8*(1+Hipótesis!$D$12)*(1+Hipótesis!$E$12)</f>
        <v/>
      </c>
      <c r="O62" s="29">
        <f>SUM(C62:N62)</f>
        <v/>
      </c>
    </row>
    <row r="63">
      <c r="B63" s="13" t="inlineStr">
        <is>
          <t xml:space="preserve">    Ingreso por equipos adicionales</t>
        </is>
      </c>
      <c r="C63" s="28">
        <f>'Proyección de ventas'!C86*MAX(0,Hipótesis!$E$52-Planes!$E$8)*Planes!$F$8*(1+Hipótesis!$D$12)*(1+Hipótesis!$E$12)</f>
        <v/>
      </c>
      <c r="D63" s="28">
        <f>'Proyección de ventas'!D86*MAX(0,Hipótesis!$E$52-Planes!$E$8)*Planes!$F$8*(1+Hipótesis!$D$12)*(1+Hipótesis!$E$12)</f>
        <v/>
      </c>
      <c r="E63" s="28">
        <f>'Proyección de ventas'!E86*MAX(0,Hipótesis!$E$52-Planes!$E$8)*Planes!$F$8*(1+Hipótesis!$D$12)*(1+Hipótesis!$E$12)</f>
        <v/>
      </c>
      <c r="F63" s="28">
        <f>'Proyección de ventas'!F86*MAX(0,Hipótesis!$E$52-Planes!$E$8)*Planes!$F$8*(1+Hipótesis!$D$12)*(1+Hipótesis!$E$12)</f>
        <v/>
      </c>
      <c r="G63" s="28">
        <f>'Proyección de ventas'!G86*MAX(0,Hipótesis!$E$52-Planes!$E$8)*Planes!$F$8*(1+Hipótesis!$D$12)*(1+Hipótesis!$E$12)</f>
        <v/>
      </c>
      <c r="H63" s="28">
        <f>'Proyección de ventas'!H86*MAX(0,Hipótesis!$E$52-Planes!$E$8)*Planes!$F$8*(1+Hipótesis!$D$12)*(1+Hipótesis!$E$12)</f>
        <v/>
      </c>
      <c r="I63" s="28">
        <f>'Proyección de ventas'!I86*MAX(0,Hipótesis!$E$52-Planes!$E$8)*Planes!$F$8*(1+Hipótesis!$D$12)*(1+Hipótesis!$E$12)</f>
        <v/>
      </c>
      <c r="J63" s="28">
        <f>'Proyección de ventas'!J86*MAX(0,Hipótesis!$E$52-Planes!$E$8)*Planes!$F$8*(1+Hipótesis!$D$12)*(1+Hipótesis!$E$12)</f>
        <v/>
      </c>
      <c r="K63" s="28">
        <f>'Proyección de ventas'!K86*MAX(0,Hipótesis!$E$52-Planes!$E$8)*Planes!$F$8*(1+Hipótesis!$D$12)*(1+Hipótesis!$E$12)</f>
        <v/>
      </c>
      <c r="L63" s="28">
        <f>'Proyección de ventas'!L86*MAX(0,Hipótesis!$E$52-Planes!$E$8)*Planes!$F$8*(1+Hipótesis!$D$12)*(1+Hipótesis!$E$12)</f>
        <v/>
      </c>
      <c r="M63" s="28">
        <f>'Proyección de ventas'!M86*MAX(0,Hipótesis!$E$52-Planes!$E$8)*Planes!$F$8*(1+Hipótesis!$D$12)*(1+Hipótesis!$E$12)</f>
        <v/>
      </c>
      <c r="N63" s="28">
        <f>'Proyección de ventas'!N86*MAX(0,Hipótesis!$E$52-Planes!$E$8)*Planes!$F$8*(1+Hipótesis!$D$12)*(1+Hipótesis!$E$12)</f>
        <v/>
      </c>
      <c r="O63" s="29">
        <f>SUM(C63:N63)</f>
        <v/>
      </c>
    </row>
    <row r="64">
      <c r="B64" s="20" t="inlineStr">
        <is>
          <t>Total de la línea</t>
        </is>
      </c>
      <c r="C64" s="18">
        <f>C62+C63</f>
        <v/>
      </c>
      <c r="D64" s="18">
        <f>D62+D63</f>
        <v/>
      </c>
      <c r="E64" s="18">
        <f>E62+E63</f>
        <v/>
      </c>
      <c r="F64" s="18">
        <f>F62+F63</f>
        <v/>
      </c>
      <c r="G64" s="18">
        <f>G62+G63</f>
        <v/>
      </c>
      <c r="H64" s="18">
        <f>H62+H63</f>
        <v/>
      </c>
      <c r="I64" s="18">
        <f>I62+I63</f>
        <v/>
      </c>
      <c r="J64" s="18">
        <f>J62+J63</f>
        <v/>
      </c>
      <c r="K64" s="18">
        <f>K62+K63</f>
        <v/>
      </c>
      <c r="L64" s="18">
        <f>L62+L63</f>
        <v/>
      </c>
      <c r="M64" s="18">
        <f>M62+M63</f>
        <v/>
      </c>
      <c r="N64" s="18">
        <f>N62+N63</f>
        <v/>
      </c>
      <c r="O64" s="29">
        <f>SUM(C64:N64)</f>
        <v/>
      </c>
    </row>
    <row r="65"/>
    <row r="66">
      <c r="B66" s="9" t="inlineStr">
        <is>
          <t>Plan Partner</t>
        </is>
      </c>
      <c r="C66" s="10" t="n"/>
      <c r="D66" s="10" t="n"/>
      <c r="E66" s="10" t="n"/>
      <c r="F66" s="10" t="n"/>
      <c r="G66" s="10" t="n"/>
      <c r="H66" s="10" t="n"/>
      <c r="I66" s="10" t="n"/>
      <c r="J66" s="10" t="n"/>
      <c r="K66" s="10" t="n"/>
      <c r="L66" s="10" t="n"/>
      <c r="M66" s="10" t="n"/>
      <c r="N66" s="10" t="n"/>
      <c r="O66" s="10" t="n"/>
    </row>
    <row r="67">
      <c r="A67" s="20" t="inlineStr">
        <is>
          <t>PLAN PARTNER</t>
        </is>
      </c>
      <c r="B67" s="13" t="inlineStr">
        <is>
          <t>Ingreso por abono</t>
        </is>
      </c>
      <c r="C67" s="28">
        <f>'Proyección de ventas'!C90*Planes!$D$9*(1+Hipótesis!$D$12)*(1+Hipótesis!$E$12)</f>
        <v/>
      </c>
      <c r="D67" s="28">
        <f>'Proyección de ventas'!D90*Planes!$D$9*(1+Hipótesis!$D$12)*(1+Hipótesis!$E$12)</f>
        <v/>
      </c>
      <c r="E67" s="28">
        <f>'Proyección de ventas'!E90*Planes!$D$9*(1+Hipótesis!$D$12)*(1+Hipótesis!$E$12)</f>
        <v/>
      </c>
      <c r="F67" s="28">
        <f>'Proyección de ventas'!F90*Planes!$D$9*(1+Hipótesis!$D$12)*(1+Hipótesis!$E$12)</f>
        <v/>
      </c>
      <c r="G67" s="28">
        <f>'Proyección de ventas'!G90*Planes!$D$9*(1+Hipótesis!$D$12)*(1+Hipótesis!$E$12)</f>
        <v/>
      </c>
      <c r="H67" s="28">
        <f>'Proyección de ventas'!H90*Planes!$D$9*(1+Hipótesis!$D$12)*(1+Hipótesis!$E$12)</f>
        <v/>
      </c>
      <c r="I67" s="28">
        <f>'Proyección de ventas'!I90*Planes!$D$9*(1+Hipótesis!$D$12)*(1+Hipótesis!$E$12)</f>
        <v/>
      </c>
      <c r="J67" s="28">
        <f>'Proyección de ventas'!J90*Planes!$D$9*(1+Hipótesis!$D$12)*(1+Hipótesis!$E$12)</f>
        <v/>
      </c>
      <c r="K67" s="28">
        <f>'Proyección de ventas'!K90*Planes!$D$9*(1+Hipótesis!$D$12)*(1+Hipótesis!$E$12)</f>
        <v/>
      </c>
      <c r="L67" s="28">
        <f>'Proyección de ventas'!L90*Planes!$D$9*(1+Hipótesis!$D$12)*(1+Hipótesis!$E$12)</f>
        <v/>
      </c>
      <c r="M67" s="28">
        <f>'Proyección de ventas'!M90*Planes!$D$9*(1+Hipótesis!$D$12)*(1+Hipótesis!$E$12)</f>
        <v/>
      </c>
      <c r="N67" s="28">
        <f>'Proyección de ventas'!N90*Planes!$D$9*(1+Hipótesis!$D$12)*(1+Hipótesis!$E$12)</f>
        <v/>
      </c>
      <c r="O67" s="29">
        <f>SUM(C67:N67)</f>
        <v/>
      </c>
    </row>
    <row r="68">
      <c r="B68" s="13" t="inlineStr">
        <is>
          <t xml:space="preserve">    Ingreso por equipos adicionales</t>
        </is>
      </c>
      <c r="C68" s="28">
        <f>'Proyección de ventas'!C90*MAX(0,Hipótesis!$E$53-Planes!$E$9)*Planes!$F$9*(1+Hipótesis!$D$12)*(1+Hipótesis!$E$12)</f>
        <v/>
      </c>
      <c r="D68" s="28">
        <f>'Proyección de ventas'!D90*MAX(0,Hipótesis!$E$53-Planes!$E$9)*Planes!$F$9*(1+Hipótesis!$D$12)*(1+Hipótesis!$E$12)</f>
        <v/>
      </c>
      <c r="E68" s="28">
        <f>'Proyección de ventas'!E90*MAX(0,Hipótesis!$E$53-Planes!$E$9)*Planes!$F$9*(1+Hipótesis!$D$12)*(1+Hipótesis!$E$12)</f>
        <v/>
      </c>
      <c r="F68" s="28">
        <f>'Proyección de ventas'!F90*MAX(0,Hipótesis!$E$53-Planes!$E$9)*Planes!$F$9*(1+Hipótesis!$D$12)*(1+Hipótesis!$E$12)</f>
        <v/>
      </c>
      <c r="G68" s="28">
        <f>'Proyección de ventas'!G90*MAX(0,Hipótesis!$E$53-Planes!$E$9)*Planes!$F$9*(1+Hipótesis!$D$12)*(1+Hipótesis!$E$12)</f>
        <v/>
      </c>
      <c r="H68" s="28">
        <f>'Proyección de ventas'!H90*MAX(0,Hipótesis!$E$53-Planes!$E$9)*Planes!$F$9*(1+Hipótesis!$D$12)*(1+Hipótesis!$E$12)</f>
        <v/>
      </c>
      <c r="I68" s="28">
        <f>'Proyección de ventas'!I90*MAX(0,Hipótesis!$E$53-Planes!$E$9)*Planes!$F$9*(1+Hipótesis!$D$12)*(1+Hipótesis!$E$12)</f>
        <v/>
      </c>
      <c r="J68" s="28">
        <f>'Proyección de ventas'!J90*MAX(0,Hipótesis!$E$53-Planes!$E$9)*Planes!$F$9*(1+Hipótesis!$D$12)*(1+Hipótesis!$E$12)</f>
        <v/>
      </c>
      <c r="K68" s="28">
        <f>'Proyección de ventas'!K90*MAX(0,Hipótesis!$E$53-Planes!$E$9)*Planes!$F$9*(1+Hipótesis!$D$12)*(1+Hipótesis!$E$12)</f>
        <v/>
      </c>
      <c r="L68" s="28">
        <f>'Proyección de ventas'!L90*MAX(0,Hipótesis!$E$53-Planes!$E$9)*Planes!$F$9*(1+Hipótesis!$D$12)*(1+Hipótesis!$E$12)</f>
        <v/>
      </c>
      <c r="M68" s="28">
        <f>'Proyección de ventas'!M90*MAX(0,Hipótesis!$E$53-Planes!$E$9)*Planes!$F$9*(1+Hipótesis!$D$12)*(1+Hipótesis!$E$12)</f>
        <v/>
      </c>
      <c r="N68" s="28">
        <f>'Proyección de ventas'!N90*MAX(0,Hipótesis!$E$53-Planes!$E$9)*Planes!$F$9*(1+Hipótesis!$D$12)*(1+Hipótesis!$E$12)</f>
        <v/>
      </c>
      <c r="O68" s="29">
        <f>SUM(C68:N68)</f>
        <v/>
      </c>
    </row>
    <row r="69">
      <c r="B69" s="20" t="inlineStr">
        <is>
          <t>Total de la línea</t>
        </is>
      </c>
      <c r="C69" s="18">
        <f>C67+C68</f>
        <v/>
      </c>
      <c r="D69" s="18">
        <f>D67+D68</f>
        <v/>
      </c>
      <c r="E69" s="18">
        <f>E67+E68</f>
        <v/>
      </c>
      <c r="F69" s="18">
        <f>F67+F68</f>
        <v/>
      </c>
      <c r="G69" s="18">
        <f>G67+G68</f>
        <v/>
      </c>
      <c r="H69" s="18">
        <f>H67+H68</f>
        <v/>
      </c>
      <c r="I69" s="18">
        <f>I67+I68</f>
        <v/>
      </c>
      <c r="J69" s="18">
        <f>J67+J68</f>
        <v/>
      </c>
      <c r="K69" s="18">
        <f>K67+K68</f>
        <v/>
      </c>
      <c r="L69" s="18">
        <f>L67+L68</f>
        <v/>
      </c>
      <c r="M69" s="18">
        <f>M67+M68</f>
        <v/>
      </c>
      <c r="N69" s="18">
        <f>N67+N68</f>
        <v/>
      </c>
      <c r="O69" s="29">
        <f>SUM(C69:N69)</f>
        <v/>
      </c>
    </row>
    <row r="70"/>
    <row r="71">
      <c r="B71" s="9" t="inlineStr">
        <is>
          <t>Total de ingresos</t>
        </is>
      </c>
      <c r="C71" s="10" t="n"/>
      <c r="D71" s="10" t="n"/>
      <c r="E71" s="10" t="n"/>
      <c r="F71" s="10" t="n"/>
      <c r="G71" s="10" t="n"/>
      <c r="H71" s="10" t="n"/>
      <c r="I71" s="10" t="n"/>
      <c r="J71" s="10" t="n"/>
      <c r="K71" s="10" t="n"/>
      <c r="L71" s="10" t="n"/>
      <c r="M71" s="10" t="n"/>
      <c r="N71" s="10" t="n"/>
      <c r="O71" s="10" t="n"/>
    </row>
    <row r="72">
      <c r="A72" s="20" t="inlineStr">
        <is>
          <t>TOTAL</t>
        </is>
      </c>
      <c r="B72" s="20" t="inlineStr">
        <is>
          <t>Ingresos del mes</t>
        </is>
      </c>
      <c r="C72" s="18">
        <f>C59+C64+C69</f>
        <v/>
      </c>
      <c r="D72" s="18">
        <f>D59+D64+D69</f>
        <v/>
      </c>
      <c r="E72" s="18">
        <f>E59+E64+E69</f>
        <v/>
      </c>
      <c r="F72" s="18">
        <f>F59+F64+F69</f>
        <v/>
      </c>
      <c r="G72" s="18">
        <f>G59+G64+G69</f>
        <v/>
      </c>
      <c r="H72" s="18">
        <f>H59+H64+H69</f>
        <v/>
      </c>
      <c r="I72" s="18">
        <f>I59+I64+I69</f>
        <v/>
      </c>
      <c r="J72" s="18">
        <f>J59+J64+J69</f>
        <v/>
      </c>
      <c r="K72" s="18">
        <f>K59+K64+K69</f>
        <v/>
      </c>
      <c r="L72" s="18">
        <f>L59+L64+L69</f>
        <v/>
      </c>
      <c r="M72" s="18">
        <f>M59+M64+M69</f>
        <v/>
      </c>
      <c r="N72" s="18">
        <f>N59+N64+N69</f>
        <v/>
      </c>
      <c r="O72" s="29">
        <f>SUM(C72:N72)</f>
        <v/>
      </c>
    </row>
    <row r="73">
      <c r="B73" s="13" t="inlineStr">
        <is>
          <t xml:space="preserve">    Ingreso promedio por cliente</t>
        </is>
      </c>
      <c r="C73" s="28">
        <f>IFERROR(C72/'Proyección de ventas'!C93,0)</f>
        <v/>
      </c>
      <c r="D73" s="28">
        <f>IFERROR(D72/'Proyección de ventas'!D93,0)</f>
        <v/>
      </c>
      <c r="E73" s="28">
        <f>IFERROR(E72/'Proyección de ventas'!E93,0)</f>
        <v/>
      </c>
      <c r="F73" s="28">
        <f>IFERROR(F72/'Proyección de ventas'!F93,0)</f>
        <v/>
      </c>
      <c r="G73" s="28">
        <f>IFERROR(G72/'Proyección de ventas'!G93,0)</f>
        <v/>
      </c>
      <c r="H73" s="28">
        <f>IFERROR(H72/'Proyección de ventas'!H93,0)</f>
        <v/>
      </c>
      <c r="I73" s="28">
        <f>IFERROR(I72/'Proyección de ventas'!I93,0)</f>
        <v/>
      </c>
      <c r="J73" s="28">
        <f>IFERROR(J72/'Proyección de ventas'!J93,0)</f>
        <v/>
      </c>
      <c r="K73" s="28">
        <f>IFERROR(K72/'Proyección de ventas'!K93,0)</f>
        <v/>
      </c>
      <c r="L73" s="28">
        <f>IFERROR(L72/'Proyección de ventas'!L93,0)</f>
        <v/>
      </c>
      <c r="M73" s="28">
        <f>IFERROR(M72/'Proyección de ventas'!M93,0)</f>
        <v/>
      </c>
      <c r="N73" s="28">
        <f>IFERROR(N72/'Proyección de ventas'!N93,0)</f>
        <v/>
      </c>
    </row>
    <row r="74"/>
    <row r="75"/>
    <row r="76">
      <c r="C76" s="5" t="n">
        <v>2030</v>
      </c>
    </row>
    <row r="77">
      <c r="C77" s="26" t="inlineStr">
        <is>
          <t>Ene</t>
        </is>
      </c>
      <c r="D77" s="26" t="inlineStr">
        <is>
          <t>Feb</t>
        </is>
      </c>
      <c r="E77" s="26" t="inlineStr">
        <is>
          <t>Mar</t>
        </is>
      </c>
      <c r="F77" s="26" t="inlineStr">
        <is>
          <t>Abr</t>
        </is>
      </c>
      <c r="G77" s="26" t="inlineStr">
        <is>
          <t>May</t>
        </is>
      </c>
      <c r="H77" s="26" t="inlineStr">
        <is>
          <t>Jun</t>
        </is>
      </c>
      <c r="I77" s="26" t="inlineStr">
        <is>
          <t>Jul</t>
        </is>
      </c>
      <c r="J77" s="26" t="inlineStr">
        <is>
          <t>Ago</t>
        </is>
      </c>
      <c r="K77" s="26" t="inlineStr">
        <is>
          <t>Sep</t>
        </is>
      </c>
      <c r="L77" s="26" t="inlineStr">
        <is>
          <t>Oct</t>
        </is>
      </c>
      <c r="M77" s="26" t="inlineStr">
        <is>
          <t>Nov</t>
        </is>
      </c>
      <c r="N77" s="26" t="inlineStr">
        <is>
          <t>Dic</t>
        </is>
      </c>
      <c r="O77" s="27" t="inlineStr">
        <is>
          <t>Total 2030</t>
        </is>
      </c>
    </row>
    <row r="78"/>
    <row r="79">
      <c r="B79" s="9" t="inlineStr">
        <is>
          <t>Plan Inicial</t>
        </is>
      </c>
      <c r="C79" s="10" t="n"/>
      <c r="D79" s="10" t="n"/>
      <c r="E79" s="10" t="n"/>
      <c r="F79" s="10" t="n"/>
      <c r="G79" s="10" t="n"/>
      <c r="H79" s="10" t="n"/>
      <c r="I79" s="10" t="n"/>
      <c r="J79" s="10" t="n"/>
      <c r="K79" s="10" t="n"/>
      <c r="L79" s="10" t="n"/>
      <c r="M79" s="10" t="n"/>
      <c r="N79" s="10" t="n"/>
      <c r="O79" s="10" t="n"/>
    </row>
    <row r="80">
      <c r="A80" s="20" t="inlineStr">
        <is>
          <t>PLAN INICIAL</t>
        </is>
      </c>
      <c r="B80" s="13" t="inlineStr">
        <is>
          <t>Ingreso por abono</t>
        </is>
      </c>
      <c r="C80" s="28">
        <f>'Proyección de ventas'!C110*Planes!$D$7*(1+Hipótesis!$D$12)*(1+Hipótesis!$E$12)*(1+Hipótesis!$F$12)</f>
        <v/>
      </c>
      <c r="D80" s="28">
        <f>'Proyección de ventas'!D110*Planes!$D$7*(1+Hipótesis!$D$12)*(1+Hipótesis!$E$12)*(1+Hipótesis!$F$12)</f>
        <v/>
      </c>
      <c r="E80" s="28">
        <f>'Proyección de ventas'!E110*Planes!$D$7*(1+Hipótesis!$D$12)*(1+Hipótesis!$E$12)*(1+Hipótesis!$F$12)</f>
        <v/>
      </c>
      <c r="F80" s="28">
        <f>'Proyección de ventas'!F110*Planes!$D$7*(1+Hipótesis!$D$12)*(1+Hipótesis!$E$12)*(1+Hipótesis!$F$12)</f>
        <v/>
      </c>
      <c r="G80" s="28">
        <f>'Proyección de ventas'!G110*Planes!$D$7*(1+Hipótesis!$D$12)*(1+Hipótesis!$E$12)*(1+Hipótesis!$F$12)</f>
        <v/>
      </c>
      <c r="H80" s="28">
        <f>'Proyección de ventas'!H110*Planes!$D$7*(1+Hipótesis!$D$12)*(1+Hipótesis!$E$12)*(1+Hipótesis!$F$12)</f>
        <v/>
      </c>
      <c r="I80" s="28">
        <f>'Proyección de ventas'!I110*Planes!$D$7*(1+Hipótesis!$D$12)*(1+Hipótesis!$E$12)*(1+Hipótesis!$F$12)</f>
        <v/>
      </c>
      <c r="J80" s="28">
        <f>'Proyección de ventas'!J110*Planes!$D$7*(1+Hipótesis!$D$12)*(1+Hipótesis!$E$12)*(1+Hipótesis!$F$12)</f>
        <v/>
      </c>
      <c r="K80" s="28">
        <f>'Proyección de ventas'!K110*Planes!$D$7*(1+Hipótesis!$D$12)*(1+Hipótesis!$E$12)*(1+Hipótesis!$F$12)</f>
        <v/>
      </c>
      <c r="L80" s="28">
        <f>'Proyección de ventas'!L110*Planes!$D$7*(1+Hipótesis!$D$12)*(1+Hipótesis!$E$12)*(1+Hipótesis!$F$12)</f>
        <v/>
      </c>
      <c r="M80" s="28">
        <f>'Proyección de ventas'!M110*Planes!$D$7*(1+Hipótesis!$D$12)*(1+Hipótesis!$E$12)*(1+Hipótesis!$F$12)</f>
        <v/>
      </c>
      <c r="N80" s="28">
        <f>'Proyección de ventas'!N110*Planes!$D$7*(1+Hipótesis!$D$12)*(1+Hipótesis!$E$12)*(1+Hipótesis!$F$12)</f>
        <v/>
      </c>
      <c r="O80" s="29">
        <f>SUM(C80:N80)</f>
        <v/>
      </c>
    </row>
    <row r="81">
      <c r="B81" s="13" t="inlineStr">
        <is>
          <t xml:space="preserve">    Ingreso por equipos adicionales</t>
        </is>
      </c>
      <c r="C81" s="28">
        <f>'Proyección de ventas'!C110*MAX(0,Hipótesis!$F$51-Planes!$E$7)*Planes!$F$7*(1+Hipótesis!$D$12)*(1+Hipótesis!$E$12)*(1+Hipótesis!$F$12)</f>
        <v/>
      </c>
      <c r="D81" s="28">
        <f>'Proyección de ventas'!D110*MAX(0,Hipótesis!$F$51-Planes!$E$7)*Planes!$F$7*(1+Hipótesis!$D$12)*(1+Hipótesis!$E$12)*(1+Hipótesis!$F$12)</f>
        <v/>
      </c>
      <c r="E81" s="28">
        <f>'Proyección de ventas'!E110*MAX(0,Hipótesis!$F$51-Planes!$E$7)*Planes!$F$7*(1+Hipótesis!$D$12)*(1+Hipótesis!$E$12)*(1+Hipótesis!$F$12)</f>
        <v/>
      </c>
      <c r="F81" s="28">
        <f>'Proyección de ventas'!F110*MAX(0,Hipótesis!$F$51-Planes!$E$7)*Planes!$F$7*(1+Hipótesis!$D$12)*(1+Hipótesis!$E$12)*(1+Hipótesis!$F$12)</f>
        <v/>
      </c>
      <c r="G81" s="28">
        <f>'Proyección de ventas'!G110*MAX(0,Hipótesis!$F$51-Planes!$E$7)*Planes!$F$7*(1+Hipótesis!$D$12)*(1+Hipótesis!$E$12)*(1+Hipótesis!$F$12)</f>
        <v/>
      </c>
      <c r="H81" s="28">
        <f>'Proyección de ventas'!H110*MAX(0,Hipótesis!$F$51-Planes!$E$7)*Planes!$F$7*(1+Hipótesis!$D$12)*(1+Hipótesis!$E$12)*(1+Hipótesis!$F$12)</f>
        <v/>
      </c>
      <c r="I81" s="28">
        <f>'Proyección de ventas'!I110*MAX(0,Hipótesis!$F$51-Planes!$E$7)*Planes!$F$7*(1+Hipótesis!$D$12)*(1+Hipótesis!$E$12)*(1+Hipótesis!$F$12)</f>
        <v/>
      </c>
      <c r="J81" s="28">
        <f>'Proyección de ventas'!J110*MAX(0,Hipótesis!$F$51-Planes!$E$7)*Planes!$F$7*(1+Hipótesis!$D$12)*(1+Hipótesis!$E$12)*(1+Hipótesis!$F$12)</f>
        <v/>
      </c>
      <c r="K81" s="28">
        <f>'Proyección de ventas'!K110*MAX(0,Hipótesis!$F$51-Planes!$E$7)*Planes!$F$7*(1+Hipótesis!$D$12)*(1+Hipótesis!$E$12)*(1+Hipótesis!$F$12)</f>
        <v/>
      </c>
      <c r="L81" s="28">
        <f>'Proyección de ventas'!L110*MAX(0,Hipótesis!$F$51-Planes!$E$7)*Planes!$F$7*(1+Hipótesis!$D$12)*(1+Hipótesis!$E$12)*(1+Hipótesis!$F$12)</f>
        <v/>
      </c>
      <c r="M81" s="28">
        <f>'Proyección de ventas'!M110*MAX(0,Hipótesis!$F$51-Planes!$E$7)*Planes!$F$7*(1+Hipótesis!$D$12)*(1+Hipótesis!$E$12)*(1+Hipótesis!$F$12)</f>
        <v/>
      </c>
      <c r="N81" s="28">
        <f>'Proyección de ventas'!N110*MAX(0,Hipótesis!$F$51-Planes!$E$7)*Planes!$F$7*(1+Hipótesis!$D$12)*(1+Hipótesis!$E$12)*(1+Hipótesis!$F$12)</f>
        <v/>
      </c>
      <c r="O81" s="29">
        <f>SUM(C81:N81)</f>
        <v/>
      </c>
    </row>
    <row r="82">
      <c r="B82" s="20" t="inlineStr">
        <is>
          <t>Total de la línea</t>
        </is>
      </c>
      <c r="C82" s="18">
        <f>C80+C81</f>
        <v/>
      </c>
      <c r="D82" s="18">
        <f>D80+D81</f>
        <v/>
      </c>
      <c r="E82" s="18">
        <f>E80+E81</f>
        <v/>
      </c>
      <c r="F82" s="18">
        <f>F80+F81</f>
        <v/>
      </c>
      <c r="G82" s="18">
        <f>G80+G81</f>
        <v/>
      </c>
      <c r="H82" s="18">
        <f>H80+H81</f>
        <v/>
      </c>
      <c r="I82" s="18">
        <f>I80+I81</f>
        <v/>
      </c>
      <c r="J82" s="18">
        <f>J80+J81</f>
        <v/>
      </c>
      <c r="K82" s="18">
        <f>K80+K81</f>
        <v/>
      </c>
      <c r="L82" s="18">
        <f>L80+L81</f>
        <v/>
      </c>
      <c r="M82" s="18">
        <f>M80+M81</f>
        <v/>
      </c>
      <c r="N82" s="18">
        <f>N80+N81</f>
        <v/>
      </c>
      <c r="O82" s="29">
        <f>SUM(C82:N82)</f>
        <v/>
      </c>
    </row>
    <row r="83"/>
    <row r="84">
      <c r="B84" s="9" t="inlineStr">
        <is>
          <t>Plan Estándar</t>
        </is>
      </c>
      <c r="C84" s="10" t="n"/>
      <c r="D84" s="10" t="n"/>
      <c r="E84" s="10" t="n"/>
      <c r="F84" s="10" t="n"/>
      <c r="G84" s="10" t="n"/>
      <c r="H84" s="10" t="n"/>
      <c r="I84" s="10" t="n"/>
      <c r="J84" s="10" t="n"/>
      <c r="K84" s="10" t="n"/>
      <c r="L84" s="10" t="n"/>
      <c r="M84" s="10" t="n"/>
      <c r="N84" s="10" t="n"/>
      <c r="O84" s="10" t="n"/>
    </row>
    <row r="85">
      <c r="A85" s="20" t="inlineStr">
        <is>
          <t>PLAN ESTÁNDAR</t>
        </is>
      </c>
      <c r="B85" s="13" t="inlineStr">
        <is>
          <t>Ingreso por abono</t>
        </is>
      </c>
      <c r="C85" s="28">
        <f>'Proyección de ventas'!C116*Planes!$D$8*(1+Hipótesis!$D$12)*(1+Hipótesis!$E$12)*(1+Hipótesis!$F$12)</f>
        <v/>
      </c>
      <c r="D85" s="28">
        <f>'Proyección de ventas'!D116*Planes!$D$8*(1+Hipótesis!$D$12)*(1+Hipótesis!$E$12)*(1+Hipótesis!$F$12)</f>
        <v/>
      </c>
      <c r="E85" s="28">
        <f>'Proyección de ventas'!E116*Planes!$D$8*(1+Hipótesis!$D$12)*(1+Hipótesis!$E$12)*(1+Hipótesis!$F$12)</f>
        <v/>
      </c>
      <c r="F85" s="28">
        <f>'Proyección de ventas'!F116*Planes!$D$8*(1+Hipótesis!$D$12)*(1+Hipótesis!$E$12)*(1+Hipótesis!$F$12)</f>
        <v/>
      </c>
      <c r="G85" s="28">
        <f>'Proyección de ventas'!G116*Planes!$D$8*(1+Hipótesis!$D$12)*(1+Hipótesis!$E$12)*(1+Hipótesis!$F$12)</f>
        <v/>
      </c>
      <c r="H85" s="28">
        <f>'Proyección de ventas'!H116*Planes!$D$8*(1+Hipótesis!$D$12)*(1+Hipótesis!$E$12)*(1+Hipótesis!$F$12)</f>
        <v/>
      </c>
      <c r="I85" s="28">
        <f>'Proyección de ventas'!I116*Planes!$D$8*(1+Hipótesis!$D$12)*(1+Hipótesis!$E$12)*(1+Hipótesis!$F$12)</f>
        <v/>
      </c>
      <c r="J85" s="28">
        <f>'Proyección de ventas'!J116*Planes!$D$8*(1+Hipótesis!$D$12)*(1+Hipótesis!$E$12)*(1+Hipótesis!$F$12)</f>
        <v/>
      </c>
      <c r="K85" s="28">
        <f>'Proyección de ventas'!K116*Planes!$D$8*(1+Hipótesis!$D$12)*(1+Hipótesis!$E$12)*(1+Hipótesis!$F$12)</f>
        <v/>
      </c>
      <c r="L85" s="28">
        <f>'Proyección de ventas'!L116*Planes!$D$8*(1+Hipótesis!$D$12)*(1+Hipótesis!$E$12)*(1+Hipótesis!$F$12)</f>
        <v/>
      </c>
      <c r="M85" s="28">
        <f>'Proyección de ventas'!M116*Planes!$D$8*(1+Hipótesis!$D$12)*(1+Hipótesis!$E$12)*(1+Hipótesis!$F$12)</f>
        <v/>
      </c>
      <c r="N85" s="28">
        <f>'Proyección de ventas'!N116*Planes!$D$8*(1+Hipótesis!$D$12)*(1+Hipótesis!$E$12)*(1+Hipótesis!$F$12)</f>
        <v/>
      </c>
      <c r="O85" s="29">
        <f>SUM(C85:N85)</f>
        <v/>
      </c>
    </row>
    <row r="86">
      <c r="B86" s="13" t="inlineStr">
        <is>
          <t xml:space="preserve">    Ingreso por equipos adicionales</t>
        </is>
      </c>
      <c r="C86" s="28">
        <f>'Proyección de ventas'!C116*MAX(0,Hipótesis!$F$52-Planes!$E$8)*Planes!$F$8*(1+Hipótesis!$D$12)*(1+Hipótesis!$E$12)*(1+Hipótesis!$F$12)</f>
        <v/>
      </c>
      <c r="D86" s="28">
        <f>'Proyección de ventas'!D116*MAX(0,Hipótesis!$F$52-Planes!$E$8)*Planes!$F$8*(1+Hipótesis!$D$12)*(1+Hipótesis!$E$12)*(1+Hipótesis!$F$12)</f>
        <v/>
      </c>
      <c r="E86" s="28">
        <f>'Proyección de ventas'!E116*MAX(0,Hipótesis!$F$52-Planes!$E$8)*Planes!$F$8*(1+Hipótesis!$D$12)*(1+Hipótesis!$E$12)*(1+Hipótesis!$F$12)</f>
        <v/>
      </c>
      <c r="F86" s="28">
        <f>'Proyección de ventas'!F116*MAX(0,Hipótesis!$F$52-Planes!$E$8)*Planes!$F$8*(1+Hipótesis!$D$12)*(1+Hipótesis!$E$12)*(1+Hipótesis!$F$12)</f>
        <v/>
      </c>
      <c r="G86" s="28">
        <f>'Proyección de ventas'!G116*MAX(0,Hipótesis!$F$52-Planes!$E$8)*Planes!$F$8*(1+Hipótesis!$D$12)*(1+Hipótesis!$E$12)*(1+Hipótesis!$F$12)</f>
        <v/>
      </c>
      <c r="H86" s="28">
        <f>'Proyección de ventas'!H116*MAX(0,Hipótesis!$F$52-Planes!$E$8)*Planes!$F$8*(1+Hipótesis!$D$12)*(1+Hipótesis!$E$12)*(1+Hipótesis!$F$12)</f>
        <v/>
      </c>
      <c r="I86" s="28">
        <f>'Proyección de ventas'!I116*MAX(0,Hipótesis!$F$52-Planes!$E$8)*Planes!$F$8*(1+Hipótesis!$D$12)*(1+Hipótesis!$E$12)*(1+Hipótesis!$F$12)</f>
        <v/>
      </c>
      <c r="J86" s="28">
        <f>'Proyección de ventas'!J116*MAX(0,Hipótesis!$F$52-Planes!$E$8)*Planes!$F$8*(1+Hipótesis!$D$12)*(1+Hipótesis!$E$12)*(1+Hipótesis!$F$12)</f>
        <v/>
      </c>
      <c r="K86" s="28">
        <f>'Proyección de ventas'!K116*MAX(0,Hipótesis!$F$52-Planes!$E$8)*Planes!$F$8*(1+Hipótesis!$D$12)*(1+Hipótesis!$E$12)*(1+Hipótesis!$F$12)</f>
        <v/>
      </c>
      <c r="L86" s="28">
        <f>'Proyección de ventas'!L116*MAX(0,Hipótesis!$F$52-Planes!$E$8)*Planes!$F$8*(1+Hipótesis!$D$12)*(1+Hipótesis!$E$12)*(1+Hipótesis!$F$12)</f>
        <v/>
      </c>
      <c r="M86" s="28">
        <f>'Proyección de ventas'!M116*MAX(0,Hipótesis!$F$52-Planes!$E$8)*Planes!$F$8*(1+Hipótesis!$D$12)*(1+Hipótesis!$E$12)*(1+Hipótesis!$F$12)</f>
        <v/>
      </c>
      <c r="N86" s="28">
        <f>'Proyección de ventas'!N116*MAX(0,Hipótesis!$F$52-Planes!$E$8)*Planes!$F$8*(1+Hipótesis!$D$12)*(1+Hipótesis!$E$12)*(1+Hipótesis!$F$12)</f>
        <v/>
      </c>
      <c r="O86" s="29">
        <f>SUM(C86:N86)</f>
        <v/>
      </c>
    </row>
    <row r="87">
      <c r="B87" s="20" t="inlineStr">
        <is>
          <t>Total de la línea</t>
        </is>
      </c>
      <c r="C87" s="18">
        <f>C85+C86</f>
        <v/>
      </c>
      <c r="D87" s="18">
        <f>D85+D86</f>
        <v/>
      </c>
      <c r="E87" s="18">
        <f>E85+E86</f>
        <v/>
      </c>
      <c r="F87" s="18">
        <f>F85+F86</f>
        <v/>
      </c>
      <c r="G87" s="18">
        <f>G85+G86</f>
        <v/>
      </c>
      <c r="H87" s="18">
        <f>H85+H86</f>
        <v/>
      </c>
      <c r="I87" s="18">
        <f>I85+I86</f>
        <v/>
      </c>
      <c r="J87" s="18">
        <f>J85+J86</f>
        <v/>
      </c>
      <c r="K87" s="18">
        <f>K85+K86</f>
        <v/>
      </c>
      <c r="L87" s="18">
        <f>L85+L86</f>
        <v/>
      </c>
      <c r="M87" s="18">
        <f>M85+M86</f>
        <v/>
      </c>
      <c r="N87" s="18">
        <f>N85+N86</f>
        <v/>
      </c>
      <c r="O87" s="29">
        <f>SUM(C87:N87)</f>
        <v/>
      </c>
    </row>
    <row r="88"/>
    <row r="89">
      <c r="B89" s="9" t="inlineStr">
        <is>
          <t>Plan Partner</t>
        </is>
      </c>
      <c r="C89" s="10" t="n"/>
      <c r="D89" s="10" t="n"/>
      <c r="E89" s="10" t="n"/>
      <c r="F89" s="10" t="n"/>
      <c r="G89" s="10" t="n"/>
      <c r="H89" s="10" t="n"/>
      <c r="I89" s="10" t="n"/>
      <c r="J89" s="10" t="n"/>
      <c r="K89" s="10" t="n"/>
      <c r="L89" s="10" t="n"/>
      <c r="M89" s="10" t="n"/>
      <c r="N89" s="10" t="n"/>
      <c r="O89" s="10" t="n"/>
    </row>
    <row r="90">
      <c r="A90" s="20" t="inlineStr">
        <is>
          <t>PLAN PARTNER</t>
        </is>
      </c>
      <c r="B90" s="13" t="inlineStr">
        <is>
          <t>Ingreso por abono</t>
        </is>
      </c>
      <c r="C90" s="28">
        <f>'Proyección de ventas'!C120*Planes!$D$9*(1+Hipótesis!$D$12)*(1+Hipótesis!$E$12)*(1+Hipótesis!$F$12)</f>
        <v/>
      </c>
      <c r="D90" s="28">
        <f>'Proyección de ventas'!D120*Planes!$D$9*(1+Hipótesis!$D$12)*(1+Hipótesis!$E$12)*(1+Hipótesis!$F$12)</f>
        <v/>
      </c>
      <c r="E90" s="28">
        <f>'Proyección de ventas'!E120*Planes!$D$9*(1+Hipótesis!$D$12)*(1+Hipótesis!$E$12)*(1+Hipótesis!$F$12)</f>
        <v/>
      </c>
      <c r="F90" s="28">
        <f>'Proyección de ventas'!F120*Planes!$D$9*(1+Hipótesis!$D$12)*(1+Hipótesis!$E$12)*(1+Hipótesis!$F$12)</f>
        <v/>
      </c>
      <c r="G90" s="28">
        <f>'Proyección de ventas'!G120*Planes!$D$9*(1+Hipótesis!$D$12)*(1+Hipótesis!$E$12)*(1+Hipótesis!$F$12)</f>
        <v/>
      </c>
      <c r="H90" s="28">
        <f>'Proyección de ventas'!H120*Planes!$D$9*(1+Hipótesis!$D$12)*(1+Hipótesis!$E$12)*(1+Hipótesis!$F$12)</f>
        <v/>
      </c>
      <c r="I90" s="28">
        <f>'Proyección de ventas'!I120*Planes!$D$9*(1+Hipótesis!$D$12)*(1+Hipótesis!$E$12)*(1+Hipótesis!$F$12)</f>
        <v/>
      </c>
      <c r="J90" s="28">
        <f>'Proyección de ventas'!J120*Planes!$D$9*(1+Hipótesis!$D$12)*(1+Hipótesis!$E$12)*(1+Hipótesis!$F$12)</f>
        <v/>
      </c>
      <c r="K90" s="28">
        <f>'Proyección de ventas'!K120*Planes!$D$9*(1+Hipótesis!$D$12)*(1+Hipótesis!$E$12)*(1+Hipótesis!$F$12)</f>
        <v/>
      </c>
      <c r="L90" s="28">
        <f>'Proyección de ventas'!L120*Planes!$D$9*(1+Hipótesis!$D$12)*(1+Hipótesis!$E$12)*(1+Hipótesis!$F$12)</f>
        <v/>
      </c>
      <c r="M90" s="28">
        <f>'Proyección de ventas'!M120*Planes!$D$9*(1+Hipótesis!$D$12)*(1+Hipótesis!$E$12)*(1+Hipótesis!$F$12)</f>
        <v/>
      </c>
      <c r="N90" s="28">
        <f>'Proyección de ventas'!N120*Planes!$D$9*(1+Hipótesis!$D$12)*(1+Hipótesis!$E$12)*(1+Hipótesis!$F$12)</f>
        <v/>
      </c>
      <c r="O90" s="29">
        <f>SUM(C90:N90)</f>
        <v/>
      </c>
    </row>
    <row r="91">
      <c r="B91" s="13" t="inlineStr">
        <is>
          <t xml:space="preserve">    Ingreso por equipos adicionales</t>
        </is>
      </c>
      <c r="C91" s="28">
        <f>'Proyección de ventas'!C120*MAX(0,Hipótesis!$F$53-Planes!$E$9)*Planes!$F$9*(1+Hipótesis!$D$12)*(1+Hipótesis!$E$12)*(1+Hipótesis!$F$12)</f>
        <v/>
      </c>
      <c r="D91" s="28">
        <f>'Proyección de ventas'!D120*MAX(0,Hipótesis!$F$53-Planes!$E$9)*Planes!$F$9*(1+Hipótesis!$D$12)*(1+Hipótesis!$E$12)*(1+Hipótesis!$F$12)</f>
        <v/>
      </c>
      <c r="E91" s="28">
        <f>'Proyección de ventas'!E120*MAX(0,Hipótesis!$F$53-Planes!$E$9)*Planes!$F$9*(1+Hipótesis!$D$12)*(1+Hipótesis!$E$12)*(1+Hipótesis!$F$12)</f>
        <v/>
      </c>
      <c r="F91" s="28">
        <f>'Proyección de ventas'!F120*MAX(0,Hipótesis!$F$53-Planes!$E$9)*Planes!$F$9*(1+Hipótesis!$D$12)*(1+Hipótesis!$E$12)*(1+Hipótesis!$F$12)</f>
        <v/>
      </c>
      <c r="G91" s="28">
        <f>'Proyección de ventas'!G120*MAX(0,Hipótesis!$F$53-Planes!$E$9)*Planes!$F$9*(1+Hipótesis!$D$12)*(1+Hipótesis!$E$12)*(1+Hipótesis!$F$12)</f>
        <v/>
      </c>
      <c r="H91" s="28">
        <f>'Proyección de ventas'!H120*MAX(0,Hipótesis!$F$53-Planes!$E$9)*Planes!$F$9*(1+Hipótesis!$D$12)*(1+Hipótesis!$E$12)*(1+Hipótesis!$F$12)</f>
        <v/>
      </c>
      <c r="I91" s="28">
        <f>'Proyección de ventas'!I120*MAX(0,Hipótesis!$F$53-Planes!$E$9)*Planes!$F$9*(1+Hipótesis!$D$12)*(1+Hipótesis!$E$12)*(1+Hipótesis!$F$12)</f>
        <v/>
      </c>
      <c r="J91" s="28">
        <f>'Proyección de ventas'!J120*MAX(0,Hipótesis!$F$53-Planes!$E$9)*Planes!$F$9*(1+Hipótesis!$D$12)*(1+Hipótesis!$E$12)*(1+Hipótesis!$F$12)</f>
        <v/>
      </c>
      <c r="K91" s="28">
        <f>'Proyección de ventas'!K120*MAX(0,Hipótesis!$F$53-Planes!$E$9)*Planes!$F$9*(1+Hipótesis!$D$12)*(1+Hipótesis!$E$12)*(1+Hipótesis!$F$12)</f>
        <v/>
      </c>
      <c r="L91" s="28">
        <f>'Proyección de ventas'!L120*MAX(0,Hipótesis!$F$53-Planes!$E$9)*Planes!$F$9*(1+Hipótesis!$D$12)*(1+Hipótesis!$E$12)*(1+Hipótesis!$F$12)</f>
        <v/>
      </c>
      <c r="M91" s="28">
        <f>'Proyección de ventas'!M120*MAX(0,Hipótesis!$F$53-Planes!$E$9)*Planes!$F$9*(1+Hipótesis!$D$12)*(1+Hipótesis!$E$12)*(1+Hipótesis!$F$12)</f>
        <v/>
      </c>
      <c r="N91" s="28">
        <f>'Proyección de ventas'!N120*MAX(0,Hipótesis!$F$53-Planes!$E$9)*Planes!$F$9*(1+Hipótesis!$D$12)*(1+Hipótesis!$E$12)*(1+Hipótesis!$F$12)</f>
        <v/>
      </c>
      <c r="O91" s="29">
        <f>SUM(C91:N91)</f>
        <v/>
      </c>
    </row>
    <row r="92">
      <c r="B92" s="20" t="inlineStr">
        <is>
          <t>Total de la línea</t>
        </is>
      </c>
      <c r="C92" s="18">
        <f>C90+C91</f>
        <v/>
      </c>
      <c r="D92" s="18">
        <f>D90+D91</f>
        <v/>
      </c>
      <c r="E92" s="18">
        <f>E90+E91</f>
        <v/>
      </c>
      <c r="F92" s="18">
        <f>F90+F91</f>
        <v/>
      </c>
      <c r="G92" s="18">
        <f>G90+G91</f>
        <v/>
      </c>
      <c r="H92" s="18">
        <f>H90+H91</f>
        <v/>
      </c>
      <c r="I92" s="18">
        <f>I90+I91</f>
        <v/>
      </c>
      <c r="J92" s="18">
        <f>J90+J91</f>
        <v/>
      </c>
      <c r="K92" s="18">
        <f>K90+K91</f>
        <v/>
      </c>
      <c r="L92" s="18">
        <f>L90+L91</f>
        <v/>
      </c>
      <c r="M92" s="18">
        <f>M90+M91</f>
        <v/>
      </c>
      <c r="N92" s="18">
        <f>N90+N91</f>
        <v/>
      </c>
      <c r="O92" s="29">
        <f>SUM(C92:N92)</f>
        <v/>
      </c>
    </row>
    <row r="93"/>
    <row r="94">
      <c r="B94" s="9" t="inlineStr">
        <is>
          <t>Total de ingresos</t>
        </is>
      </c>
      <c r="C94" s="10" t="n"/>
      <c r="D94" s="10" t="n"/>
      <c r="E94" s="10" t="n"/>
      <c r="F94" s="10" t="n"/>
      <c r="G94" s="10" t="n"/>
      <c r="H94" s="10" t="n"/>
      <c r="I94" s="10" t="n"/>
      <c r="J94" s="10" t="n"/>
      <c r="K94" s="10" t="n"/>
      <c r="L94" s="10" t="n"/>
      <c r="M94" s="10" t="n"/>
      <c r="N94" s="10" t="n"/>
      <c r="O94" s="10" t="n"/>
    </row>
    <row r="95">
      <c r="A95" s="20" t="inlineStr">
        <is>
          <t>TOTAL</t>
        </is>
      </c>
      <c r="B95" s="20" t="inlineStr">
        <is>
          <t>Ingresos del mes</t>
        </is>
      </c>
      <c r="C95" s="18">
        <f>C82+C87+C92</f>
        <v/>
      </c>
      <c r="D95" s="18">
        <f>D82+D87+D92</f>
        <v/>
      </c>
      <c r="E95" s="18">
        <f>E82+E87+E92</f>
        <v/>
      </c>
      <c r="F95" s="18">
        <f>F82+F87+F92</f>
        <v/>
      </c>
      <c r="G95" s="18">
        <f>G82+G87+G92</f>
        <v/>
      </c>
      <c r="H95" s="18">
        <f>H82+H87+H92</f>
        <v/>
      </c>
      <c r="I95" s="18">
        <f>I82+I87+I92</f>
        <v/>
      </c>
      <c r="J95" s="18">
        <f>J82+J87+J92</f>
        <v/>
      </c>
      <c r="K95" s="18">
        <f>K82+K87+K92</f>
        <v/>
      </c>
      <c r="L95" s="18">
        <f>L82+L87+L92</f>
        <v/>
      </c>
      <c r="M95" s="18">
        <f>M82+M87+M92</f>
        <v/>
      </c>
      <c r="N95" s="18">
        <f>N82+N87+N92</f>
        <v/>
      </c>
      <c r="O95" s="29">
        <f>SUM(C95:N95)</f>
        <v/>
      </c>
    </row>
    <row r="96">
      <c r="B96" s="13" t="inlineStr">
        <is>
          <t xml:space="preserve">    Ingreso promedio por cliente</t>
        </is>
      </c>
      <c r="C96" s="28">
        <f>IFERROR(C95/'Proyección de ventas'!C123,0)</f>
        <v/>
      </c>
      <c r="D96" s="28">
        <f>IFERROR(D95/'Proyección de ventas'!D123,0)</f>
        <v/>
      </c>
      <c r="E96" s="28">
        <f>IFERROR(E95/'Proyección de ventas'!E123,0)</f>
        <v/>
      </c>
      <c r="F96" s="28">
        <f>IFERROR(F95/'Proyección de ventas'!F123,0)</f>
        <v/>
      </c>
      <c r="G96" s="28">
        <f>IFERROR(G95/'Proyección de ventas'!G123,0)</f>
        <v/>
      </c>
      <c r="H96" s="28">
        <f>IFERROR(H95/'Proyección de ventas'!H123,0)</f>
        <v/>
      </c>
      <c r="I96" s="28">
        <f>IFERROR(I95/'Proyección de ventas'!I123,0)</f>
        <v/>
      </c>
      <c r="J96" s="28">
        <f>IFERROR(J95/'Proyección de ventas'!J123,0)</f>
        <v/>
      </c>
      <c r="K96" s="28">
        <f>IFERROR(K95/'Proyección de ventas'!K123,0)</f>
        <v/>
      </c>
      <c r="L96" s="28">
        <f>IFERROR(L95/'Proyección de ventas'!L123,0)</f>
        <v/>
      </c>
      <c r="M96" s="28">
        <f>IFERROR(M95/'Proyección de ventas'!M123,0)</f>
        <v/>
      </c>
      <c r="N96" s="28">
        <f>IFERROR(N95/'Proyección de ventas'!N123,0)</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6.xml><?xml version="1.0" encoding="utf-8"?>
<worksheet xmlns="http://schemas.openxmlformats.org/spreadsheetml/2006/main">
  <sheetPr>
    <tabColor rgb="00ED7D31"/>
    <outlinePr summaryBelow="1" summaryRight="1"/>
    <pageSetUpPr/>
  </sheetPr>
  <dimension ref="A1:U56"/>
  <sheetViews>
    <sheetView showGridLines="0" workbookViewId="0">
      <pane xSplit="2" topLeftCell="C1" activePane="topRight" state="frozen"/>
      <selection pane="topRight" activeCell="A1" sqref="A1"/>
    </sheetView>
  </sheetViews>
  <sheetFormatPr baseColWidth="8" defaultRowHeight="15"/>
  <cols>
    <col width="22" customWidth="1" min="1" max="1"/>
    <col width="4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 width="30" customWidth="1" min="17" max="17"/>
    <col width="14" customWidth="1" min="18" max="18"/>
    <col width="14"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14"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4"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4" customWidth="1" min="54" max="54"/>
  </cols>
  <sheetData>
    <row r="1">
      <c r="A1" s="7" t="inlineStr">
        <is>
          <t>« Inicio</t>
        </is>
      </c>
    </row>
    <row r="2" ht="24" customHeight="1">
      <c r="B2" s="8" t="inlineStr">
        <is>
          <t>MODELO DE EGRESOS</t>
        </is>
      </c>
    </row>
    <row r="3">
      <c r="B3" s="3" t="inlineStr">
        <is>
          <t>Consolidado de las tres estructuras de costo. Cada una se carga en su propia hoja y acá sólo se suman.</t>
        </is>
      </c>
      <c r="Q3" s="5" t="inlineStr">
        <is>
          <t>Resumen anual</t>
        </is>
      </c>
    </row>
    <row r="4">
      <c r="Q4" s="3" t="inlineStr">
        <is>
          <t>Los totales de cada año, que son los que alimentan el gráfico.</t>
        </is>
      </c>
    </row>
    <row r="5">
      <c r="Q5" s="20" t="inlineStr">
        <is>
          <t>Concepto</t>
        </is>
      </c>
      <c r="R5" s="11" t="n">
        <v>2027</v>
      </c>
      <c r="S5" s="11" t="n">
        <v>2028</v>
      </c>
      <c r="T5" s="11" t="n">
        <v>2029</v>
      </c>
      <c r="U5" s="11" t="n">
        <v>2030</v>
      </c>
    </row>
    <row r="6">
      <c r="Q6" s="13" t="inlineStr">
        <is>
          <t>Costos fijos</t>
        </is>
      </c>
      <c r="R6" s="28">
        <f>O10</f>
        <v/>
      </c>
      <c r="S6" s="28">
        <f>O23</f>
        <v/>
      </c>
      <c r="T6" s="28">
        <f>O36</f>
        <v/>
      </c>
      <c r="U6" s="28">
        <f>O49</f>
        <v/>
      </c>
    </row>
    <row r="7">
      <c r="C7" s="5" t="n">
        <v>2027</v>
      </c>
      <c r="Q7" s="13" t="inlineStr">
        <is>
          <t>Costos variables</t>
        </is>
      </c>
      <c r="R7" s="28">
        <f>O11</f>
        <v/>
      </c>
      <c r="S7" s="28">
        <f>O24</f>
        <v/>
      </c>
      <c r="T7" s="28">
        <f>O37</f>
        <v/>
      </c>
      <c r="U7" s="28">
        <f>O50</f>
        <v/>
      </c>
    </row>
    <row r="8">
      <c r="C8" s="26" t="inlineStr">
        <is>
          <t>Ene</t>
        </is>
      </c>
      <c r="D8" s="26" t="inlineStr">
        <is>
          <t>Feb</t>
        </is>
      </c>
      <c r="E8" s="26" t="inlineStr">
        <is>
          <t>Mar</t>
        </is>
      </c>
      <c r="F8" s="26" t="inlineStr">
        <is>
          <t>Abr</t>
        </is>
      </c>
      <c r="G8" s="26" t="inlineStr">
        <is>
          <t>May</t>
        </is>
      </c>
      <c r="H8" s="26" t="inlineStr">
        <is>
          <t>Jun</t>
        </is>
      </c>
      <c r="I8" s="26" t="inlineStr">
        <is>
          <t>Jul</t>
        </is>
      </c>
      <c r="J8" s="26" t="inlineStr">
        <is>
          <t>Ago</t>
        </is>
      </c>
      <c r="K8" s="26" t="inlineStr">
        <is>
          <t>Sep</t>
        </is>
      </c>
      <c r="L8" s="26" t="inlineStr">
        <is>
          <t>Oct</t>
        </is>
      </c>
      <c r="M8" s="26" t="inlineStr">
        <is>
          <t>Nov</t>
        </is>
      </c>
      <c r="N8" s="26" t="inlineStr">
        <is>
          <t>Dic</t>
        </is>
      </c>
      <c r="O8" s="27" t="inlineStr">
        <is>
          <t>Total 2027</t>
        </is>
      </c>
      <c r="Q8" s="13" t="inlineStr">
        <is>
          <t>Costos de RRHH</t>
        </is>
      </c>
      <c r="R8" s="28">
        <f>O12</f>
        <v/>
      </c>
      <c r="S8" s="28">
        <f>O25</f>
        <v/>
      </c>
      <c r="T8" s="28">
        <f>O38</f>
        <v/>
      </c>
      <c r="U8" s="28">
        <f>O51</f>
        <v/>
      </c>
    </row>
    <row r="9"/>
    <row r="10">
      <c r="A10" s="20" t="inlineStr">
        <is>
          <t>EGRESOS</t>
        </is>
      </c>
      <c r="B10" s="13" t="inlineStr">
        <is>
          <t>Costos fijos</t>
        </is>
      </c>
      <c r="C10" s="28">
        <f>'Costos Fijos'!C32</f>
        <v/>
      </c>
      <c r="D10" s="28">
        <f>'Costos Fijos'!D32</f>
        <v/>
      </c>
      <c r="E10" s="28">
        <f>'Costos Fijos'!E32</f>
        <v/>
      </c>
      <c r="F10" s="28">
        <f>'Costos Fijos'!F32</f>
        <v/>
      </c>
      <c r="G10" s="28">
        <f>'Costos Fijos'!G32</f>
        <v/>
      </c>
      <c r="H10" s="28">
        <f>'Costos Fijos'!H32</f>
        <v/>
      </c>
      <c r="I10" s="28">
        <f>'Costos Fijos'!I32</f>
        <v/>
      </c>
      <c r="J10" s="28">
        <f>'Costos Fijos'!J32</f>
        <v/>
      </c>
      <c r="K10" s="28">
        <f>'Costos Fijos'!K32</f>
        <v/>
      </c>
      <c r="L10" s="28">
        <f>'Costos Fijos'!L32</f>
        <v/>
      </c>
      <c r="M10" s="28">
        <f>'Costos Fijos'!M32</f>
        <v/>
      </c>
      <c r="N10" s="28">
        <f>'Costos Fijos'!N32</f>
        <v/>
      </c>
      <c r="O10" s="29">
        <f>SUM(C10:N10)</f>
        <v/>
      </c>
    </row>
    <row r="11">
      <c r="B11" s="13" t="inlineStr">
        <is>
          <t>Costos variables</t>
        </is>
      </c>
      <c r="C11" s="28">
        <f>'Costos Variables'!C14</f>
        <v/>
      </c>
      <c r="D11" s="28">
        <f>'Costos Variables'!D14</f>
        <v/>
      </c>
      <c r="E11" s="28">
        <f>'Costos Variables'!E14</f>
        <v/>
      </c>
      <c r="F11" s="28">
        <f>'Costos Variables'!F14</f>
        <v/>
      </c>
      <c r="G11" s="28">
        <f>'Costos Variables'!G14</f>
        <v/>
      </c>
      <c r="H11" s="28">
        <f>'Costos Variables'!H14</f>
        <v/>
      </c>
      <c r="I11" s="28">
        <f>'Costos Variables'!I14</f>
        <v/>
      </c>
      <c r="J11" s="28">
        <f>'Costos Variables'!J14</f>
        <v/>
      </c>
      <c r="K11" s="28">
        <f>'Costos Variables'!K14</f>
        <v/>
      </c>
      <c r="L11" s="28">
        <f>'Costos Variables'!L14</f>
        <v/>
      </c>
      <c r="M11" s="28">
        <f>'Costos Variables'!M14</f>
        <v/>
      </c>
      <c r="N11" s="28">
        <f>'Costos Variables'!N14</f>
        <v/>
      </c>
      <c r="O11" s="29">
        <f>SUM(C11:N11)</f>
        <v/>
      </c>
    </row>
    <row r="12">
      <c r="B12" s="13" t="inlineStr">
        <is>
          <t>Costos de RRHH</t>
        </is>
      </c>
      <c r="C12" s="28">
        <f>'RRHH'!C48</f>
        <v/>
      </c>
      <c r="D12" s="28">
        <f>'RRHH'!D48</f>
        <v/>
      </c>
      <c r="E12" s="28">
        <f>'RRHH'!E48</f>
        <v/>
      </c>
      <c r="F12" s="28">
        <f>'RRHH'!F48</f>
        <v/>
      </c>
      <c r="G12" s="28">
        <f>'RRHH'!G48</f>
        <v/>
      </c>
      <c r="H12" s="28">
        <f>'RRHH'!H48</f>
        <v/>
      </c>
      <c r="I12" s="28">
        <f>'RRHH'!I48</f>
        <v/>
      </c>
      <c r="J12" s="28">
        <f>'RRHH'!J48</f>
        <v/>
      </c>
      <c r="K12" s="28">
        <f>'RRHH'!K48</f>
        <v/>
      </c>
      <c r="L12" s="28">
        <f>'RRHH'!L48</f>
        <v/>
      </c>
      <c r="M12" s="28">
        <f>'RRHH'!M48</f>
        <v/>
      </c>
      <c r="N12" s="28">
        <f>'RRHH'!N48</f>
        <v/>
      </c>
      <c r="O12" s="29">
        <f>SUM(C12:N12)</f>
        <v/>
      </c>
    </row>
    <row r="13">
      <c r="B13" s="20" t="inlineStr">
        <is>
          <t>Total de egresos</t>
        </is>
      </c>
      <c r="C13" s="18">
        <f>SUM(C10:C12)</f>
        <v/>
      </c>
      <c r="D13" s="18">
        <f>SUM(D10:D12)</f>
        <v/>
      </c>
      <c r="E13" s="18">
        <f>SUM(E10:E12)</f>
        <v/>
      </c>
      <c r="F13" s="18">
        <f>SUM(F10:F12)</f>
        <v/>
      </c>
      <c r="G13" s="18">
        <f>SUM(G10:G12)</f>
        <v/>
      </c>
      <c r="H13" s="18">
        <f>SUM(H10:H12)</f>
        <v/>
      </c>
      <c r="I13" s="18">
        <f>SUM(I10:I12)</f>
        <v/>
      </c>
      <c r="J13" s="18">
        <f>SUM(J10:J12)</f>
        <v/>
      </c>
      <c r="K13" s="18">
        <f>SUM(K10:K12)</f>
        <v/>
      </c>
      <c r="L13" s="18">
        <f>SUM(L10:L12)</f>
        <v/>
      </c>
      <c r="M13" s="18">
        <f>SUM(M10:M12)</f>
        <v/>
      </c>
      <c r="N13" s="18">
        <f>SUM(N10:N12)</f>
        <v/>
      </c>
      <c r="O13" s="29">
        <f>SUM(C13:N13)</f>
        <v/>
      </c>
    </row>
    <row r="14"/>
    <row r="15">
      <c r="B15" s="9" t="inlineStr">
        <is>
          <t>Margen</t>
        </is>
      </c>
      <c r="C15" s="10" t="n"/>
      <c r="D15" s="10" t="n"/>
      <c r="E15" s="10" t="n"/>
      <c r="F15" s="10" t="n"/>
      <c r="G15" s="10" t="n"/>
      <c r="H15" s="10" t="n"/>
      <c r="I15" s="10" t="n"/>
      <c r="J15" s="10" t="n"/>
      <c r="K15" s="10" t="n"/>
      <c r="L15" s="10" t="n"/>
      <c r="M15" s="10" t="n"/>
      <c r="N15" s="10" t="n"/>
      <c r="O15" s="10" t="n"/>
    </row>
    <row r="16">
      <c r="A16" s="20" t="inlineStr">
        <is>
          <t>MARGEN</t>
        </is>
      </c>
      <c r="B16" s="20" t="inlineStr">
        <is>
          <t>Resultado operativo (ingresos − egresos)</t>
        </is>
      </c>
      <c r="C16" s="18">
        <f>'Modelo de ingresos'!C26-C13</f>
        <v/>
      </c>
      <c r="D16" s="18">
        <f>'Modelo de ingresos'!D26-D13</f>
        <v/>
      </c>
      <c r="E16" s="18">
        <f>'Modelo de ingresos'!E26-E13</f>
        <v/>
      </c>
      <c r="F16" s="18">
        <f>'Modelo de ingresos'!F26-F13</f>
        <v/>
      </c>
      <c r="G16" s="18">
        <f>'Modelo de ingresos'!G26-G13</f>
        <v/>
      </c>
      <c r="H16" s="18">
        <f>'Modelo de ingresos'!H26-H13</f>
        <v/>
      </c>
      <c r="I16" s="18">
        <f>'Modelo de ingresos'!I26-I13</f>
        <v/>
      </c>
      <c r="J16" s="18">
        <f>'Modelo de ingresos'!J26-J13</f>
        <v/>
      </c>
      <c r="K16" s="18">
        <f>'Modelo de ingresos'!K26-K13</f>
        <v/>
      </c>
      <c r="L16" s="18">
        <f>'Modelo de ingresos'!L26-L13</f>
        <v/>
      </c>
      <c r="M16" s="18">
        <f>'Modelo de ingresos'!M26-M13</f>
        <v/>
      </c>
      <c r="N16" s="18">
        <f>'Modelo de ingresos'!N26-N13</f>
        <v/>
      </c>
      <c r="O16" s="29">
        <f>SUM(C16:N16)</f>
        <v/>
      </c>
    </row>
    <row r="17">
      <c r="B17" s="13" t="inlineStr">
        <is>
          <t xml:space="preserve">    Margen sobre ingresos</t>
        </is>
      </c>
      <c r="C17" s="16">
        <f>IFERROR(C16/'Modelo de ingresos'!C26,0)</f>
        <v/>
      </c>
      <c r="D17" s="16">
        <f>IFERROR(D16/'Modelo de ingresos'!D26,0)</f>
        <v/>
      </c>
      <c r="E17" s="16">
        <f>IFERROR(E16/'Modelo de ingresos'!E26,0)</f>
        <v/>
      </c>
      <c r="F17" s="16">
        <f>IFERROR(F16/'Modelo de ingresos'!F26,0)</f>
        <v/>
      </c>
      <c r="G17" s="16">
        <f>IFERROR(G16/'Modelo de ingresos'!G26,0)</f>
        <v/>
      </c>
      <c r="H17" s="16">
        <f>IFERROR(H16/'Modelo de ingresos'!H26,0)</f>
        <v/>
      </c>
      <c r="I17" s="16">
        <f>IFERROR(I16/'Modelo de ingresos'!I26,0)</f>
        <v/>
      </c>
      <c r="J17" s="16">
        <f>IFERROR(J16/'Modelo de ingresos'!J26,0)</f>
        <v/>
      </c>
      <c r="K17" s="16">
        <f>IFERROR(K16/'Modelo de ingresos'!K26,0)</f>
        <v/>
      </c>
      <c r="L17" s="16">
        <f>IFERROR(L16/'Modelo de ingresos'!L26,0)</f>
        <v/>
      </c>
      <c r="M17" s="16">
        <f>IFERROR(M16/'Modelo de ingresos'!M26,0)</f>
        <v/>
      </c>
      <c r="N17" s="16">
        <f>IFERROR(N16/'Modelo de ingresos'!N26,0)</f>
        <v/>
      </c>
    </row>
    <row r="18"/>
    <row r="19"/>
    <row r="20">
      <c r="C20" s="5" t="n">
        <v>2028</v>
      </c>
    </row>
    <row r="21">
      <c r="C21" s="26" t="inlineStr">
        <is>
          <t>Ene</t>
        </is>
      </c>
      <c r="D21" s="26" t="inlineStr">
        <is>
          <t>Feb</t>
        </is>
      </c>
      <c r="E21" s="26" t="inlineStr">
        <is>
          <t>Mar</t>
        </is>
      </c>
      <c r="F21" s="26" t="inlineStr">
        <is>
          <t>Abr</t>
        </is>
      </c>
      <c r="G21" s="26" t="inlineStr">
        <is>
          <t>May</t>
        </is>
      </c>
      <c r="H21" s="26" t="inlineStr">
        <is>
          <t>Jun</t>
        </is>
      </c>
      <c r="I21" s="26" t="inlineStr">
        <is>
          <t>Jul</t>
        </is>
      </c>
      <c r="J21" s="26" t="inlineStr">
        <is>
          <t>Ago</t>
        </is>
      </c>
      <c r="K21" s="26" t="inlineStr">
        <is>
          <t>Sep</t>
        </is>
      </c>
      <c r="L21" s="26" t="inlineStr">
        <is>
          <t>Oct</t>
        </is>
      </c>
      <c r="M21" s="26" t="inlineStr">
        <is>
          <t>Nov</t>
        </is>
      </c>
      <c r="N21" s="26" t="inlineStr">
        <is>
          <t>Dic</t>
        </is>
      </c>
      <c r="O21" s="27" t="inlineStr">
        <is>
          <t>Total 2028</t>
        </is>
      </c>
    </row>
    <row r="22"/>
    <row r="23">
      <c r="A23" s="20" t="inlineStr">
        <is>
          <t>EGRESOS</t>
        </is>
      </c>
      <c r="B23" s="13" t="inlineStr">
        <is>
          <t>Costos fijos</t>
        </is>
      </c>
      <c r="C23" s="28">
        <f>'Costos Fijos'!C60</f>
        <v/>
      </c>
      <c r="D23" s="28">
        <f>'Costos Fijos'!D60</f>
        <v/>
      </c>
      <c r="E23" s="28">
        <f>'Costos Fijos'!E60</f>
        <v/>
      </c>
      <c r="F23" s="28">
        <f>'Costos Fijos'!F60</f>
        <v/>
      </c>
      <c r="G23" s="28">
        <f>'Costos Fijos'!G60</f>
        <v/>
      </c>
      <c r="H23" s="28">
        <f>'Costos Fijos'!H60</f>
        <v/>
      </c>
      <c r="I23" s="28">
        <f>'Costos Fijos'!I60</f>
        <v/>
      </c>
      <c r="J23" s="28">
        <f>'Costos Fijos'!J60</f>
        <v/>
      </c>
      <c r="K23" s="28">
        <f>'Costos Fijos'!K60</f>
        <v/>
      </c>
      <c r="L23" s="28">
        <f>'Costos Fijos'!L60</f>
        <v/>
      </c>
      <c r="M23" s="28">
        <f>'Costos Fijos'!M60</f>
        <v/>
      </c>
      <c r="N23" s="28">
        <f>'Costos Fijos'!N60</f>
        <v/>
      </c>
      <c r="O23" s="29">
        <f>SUM(C23:N23)</f>
        <v/>
      </c>
    </row>
    <row r="24">
      <c r="B24" s="13" t="inlineStr">
        <is>
          <t>Costos variables</t>
        </is>
      </c>
      <c r="C24" s="28">
        <f>'Costos Variables'!C24</f>
        <v/>
      </c>
      <c r="D24" s="28">
        <f>'Costos Variables'!D24</f>
        <v/>
      </c>
      <c r="E24" s="28">
        <f>'Costos Variables'!E24</f>
        <v/>
      </c>
      <c r="F24" s="28">
        <f>'Costos Variables'!F24</f>
        <v/>
      </c>
      <c r="G24" s="28">
        <f>'Costos Variables'!G24</f>
        <v/>
      </c>
      <c r="H24" s="28">
        <f>'Costos Variables'!H24</f>
        <v/>
      </c>
      <c r="I24" s="28">
        <f>'Costos Variables'!I24</f>
        <v/>
      </c>
      <c r="J24" s="28">
        <f>'Costos Variables'!J24</f>
        <v/>
      </c>
      <c r="K24" s="28">
        <f>'Costos Variables'!K24</f>
        <v/>
      </c>
      <c r="L24" s="28">
        <f>'Costos Variables'!L24</f>
        <v/>
      </c>
      <c r="M24" s="28">
        <f>'Costos Variables'!M24</f>
        <v/>
      </c>
      <c r="N24" s="28">
        <f>'Costos Variables'!N24</f>
        <v/>
      </c>
      <c r="O24" s="29">
        <f>SUM(C24:N24)</f>
        <v/>
      </c>
    </row>
    <row r="25">
      <c r="B25" s="13" t="inlineStr">
        <is>
          <t>Costos de RRHH</t>
        </is>
      </c>
      <c r="C25" s="28">
        <f>'RRHH'!C63</f>
        <v/>
      </c>
      <c r="D25" s="28">
        <f>'RRHH'!D63</f>
        <v/>
      </c>
      <c r="E25" s="28">
        <f>'RRHH'!E63</f>
        <v/>
      </c>
      <c r="F25" s="28">
        <f>'RRHH'!F63</f>
        <v/>
      </c>
      <c r="G25" s="28">
        <f>'RRHH'!G63</f>
        <v/>
      </c>
      <c r="H25" s="28">
        <f>'RRHH'!H63</f>
        <v/>
      </c>
      <c r="I25" s="28">
        <f>'RRHH'!I63</f>
        <v/>
      </c>
      <c r="J25" s="28">
        <f>'RRHH'!J63</f>
        <v/>
      </c>
      <c r="K25" s="28">
        <f>'RRHH'!K63</f>
        <v/>
      </c>
      <c r="L25" s="28">
        <f>'RRHH'!L63</f>
        <v/>
      </c>
      <c r="M25" s="28">
        <f>'RRHH'!M63</f>
        <v/>
      </c>
      <c r="N25" s="28">
        <f>'RRHH'!N63</f>
        <v/>
      </c>
      <c r="O25" s="29">
        <f>SUM(C25:N25)</f>
        <v/>
      </c>
    </row>
    <row r="26">
      <c r="B26" s="20" t="inlineStr">
        <is>
          <t>Total de egresos</t>
        </is>
      </c>
      <c r="C26" s="18">
        <f>SUM(C23:C25)</f>
        <v/>
      </c>
      <c r="D26" s="18">
        <f>SUM(D23:D25)</f>
        <v/>
      </c>
      <c r="E26" s="18">
        <f>SUM(E23:E25)</f>
        <v/>
      </c>
      <c r="F26" s="18">
        <f>SUM(F23:F25)</f>
        <v/>
      </c>
      <c r="G26" s="18">
        <f>SUM(G23:G25)</f>
        <v/>
      </c>
      <c r="H26" s="18">
        <f>SUM(H23:H25)</f>
        <v/>
      </c>
      <c r="I26" s="18">
        <f>SUM(I23:I25)</f>
        <v/>
      </c>
      <c r="J26" s="18">
        <f>SUM(J23:J25)</f>
        <v/>
      </c>
      <c r="K26" s="18">
        <f>SUM(K23:K25)</f>
        <v/>
      </c>
      <c r="L26" s="18">
        <f>SUM(L23:L25)</f>
        <v/>
      </c>
      <c r="M26" s="18">
        <f>SUM(M23:M25)</f>
        <v/>
      </c>
      <c r="N26" s="18">
        <f>SUM(N23:N25)</f>
        <v/>
      </c>
      <c r="O26" s="29">
        <f>SUM(C26:N26)</f>
        <v/>
      </c>
    </row>
    <row r="27"/>
    <row r="28">
      <c r="B28" s="9" t="inlineStr">
        <is>
          <t>Margen</t>
        </is>
      </c>
      <c r="C28" s="10" t="n"/>
      <c r="D28" s="10" t="n"/>
      <c r="E28" s="10" t="n"/>
      <c r="F28" s="10" t="n"/>
      <c r="G28" s="10" t="n"/>
      <c r="H28" s="10" t="n"/>
      <c r="I28" s="10" t="n"/>
      <c r="J28" s="10" t="n"/>
      <c r="K28" s="10" t="n"/>
      <c r="L28" s="10" t="n"/>
      <c r="M28" s="10" t="n"/>
      <c r="N28" s="10" t="n"/>
      <c r="O28" s="10" t="n"/>
    </row>
    <row r="29">
      <c r="A29" s="20" t="inlineStr">
        <is>
          <t>MARGEN</t>
        </is>
      </c>
      <c r="B29" s="20" t="inlineStr">
        <is>
          <t>Resultado operativo (ingresos − egresos)</t>
        </is>
      </c>
      <c r="C29" s="18">
        <f>'Modelo de ingresos'!C49-C26</f>
        <v/>
      </c>
      <c r="D29" s="18">
        <f>'Modelo de ingresos'!D49-D26</f>
        <v/>
      </c>
      <c r="E29" s="18">
        <f>'Modelo de ingresos'!E49-E26</f>
        <v/>
      </c>
      <c r="F29" s="18">
        <f>'Modelo de ingresos'!F49-F26</f>
        <v/>
      </c>
      <c r="G29" s="18">
        <f>'Modelo de ingresos'!G49-G26</f>
        <v/>
      </c>
      <c r="H29" s="18">
        <f>'Modelo de ingresos'!H49-H26</f>
        <v/>
      </c>
      <c r="I29" s="18">
        <f>'Modelo de ingresos'!I49-I26</f>
        <v/>
      </c>
      <c r="J29" s="18">
        <f>'Modelo de ingresos'!J49-J26</f>
        <v/>
      </c>
      <c r="K29" s="18">
        <f>'Modelo de ingresos'!K49-K26</f>
        <v/>
      </c>
      <c r="L29" s="18">
        <f>'Modelo de ingresos'!L49-L26</f>
        <v/>
      </c>
      <c r="M29" s="18">
        <f>'Modelo de ingresos'!M49-M26</f>
        <v/>
      </c>
      <c r="N29" s="18">
        <f>'Modelo de ingresos'!N49-N26</f>
        <v/>
      </c>
      <c r="O29" s="29">
        <f>SUM(C29:N29)</f>
        <v/>
      </c>
    </row>
    <row r="30">
      <c r="B30" s="13" t="inlineStr">
        <is>
          <t xml:space="preserve">    Margen sobre ingresos</t>
        </is>
      </c>
      <c r="C30" s="16">
        <f>IFERROR(C29/'Modelo de ingresos'!C49,0)</f>
        <v/>
      </c>
      <c r="D30" s="16">
        <f>IFERROR(D29/'Modelo de ingresos'!D49,0)</f>
        <v/>
      </c>
      <c r="E30" s="16">
        <f>IFERROR(E29/'Modelo de ingresos'!E49,0)</f>
        <v/>
      </c>
      <c r="F30" s="16">
        <f>IFERROR(F29/'Modelo de ingresos'!F49,0)</f>
        <v/>
      </c>
      <c r="G30" s="16">
        <f>IFERROR(G29/'Modelo de ingresos'!G49,0)</f>
        <v/>
      </c>
      <c r="H30" s="16">
        <f>IFERROR(H29/'Modelo de ingresos'!H49,0)</f>
        <v/>
      </c>
      <c r="I30" s="16">
        <f>IFERROR(I29/'Modelo de ingresos'!I49,0)</f>
        <v/>
      </c>
      <c r="J30" s="16">
        <f>IFERROR(J29/'Modelo de ingresos'!J49,0)</f>
        <v/>
      </c>
      <c r="K30" s="16">
        <f>IFERROR(K29/'Modelo de ingresos'!K49,0)</f>
        <v/>
      </c>
      <c r="L30" s="16">
        <f>IFERROR(L29/'Modelo de ingresos'!L49,0)</f>
        <v/>
      </c>
      <c r="M30" s="16">
        <f>IFERROR(M29/'Modelo de ingresos'!M49,0)</f>
        <v/>
      </c>
      <c r="N30" s="16">
        <f>IFERROR(N29/'Modelo de ingresos'!N49,0)</f>
        <v/>
      </c>
    </row>
    <row r="31"/>
    <row r="32"/>
    <row r="33">
      <c r="C33" s="5" t="n">
        <v>2029</v>
      </c>
    </row>
    <row r="34">
      <c r="C34" s="26" t="inlineStr">
        <is>
          <t>Ene</t>
        </is>
      </c>
      <c r="D34" s="26" t="inlineStr">
        <is>
          <t>Feb</t>
        </is>
      </c>
      <c r="E34" s="26" t="inlineStr">
        <is>
          <t>Mar</t>
        </is>
      </c>
      <c r="F34" s="26" t="inlineStr">
        <is>
          <t>Abr</t>
        </is>
      </c>
      <c r="G34" s="26" t="inlineStr">
        <is>
          <t>May</t>
        </is>
      </c>
      <c r="H34" s="26" t="inlineStr">
        <is>
          <t>Jun</t>
        </is>
      </c>
      <c r="I34" s="26" t="inlineStr">
        <is>
          <t>Jul</t>
        </is>
      </c>
      <c r="J34" s="26" t="inlineStr">
        <is>
          <t>Ago</t>
        </is>
      </c>
      <c r="K34" s="26" t="inlineStr">
        <is>
          <t>Sep</t>
        </is>
      </c>
      <c r="L34" s="26" t="inlineStr">
        <is>
          <t>Oct</t>
        </is>
      </c>
      <c r="M34" s="26" t="inlineStr">
        <is>
          <t>Nov</t>
        </is>
      </c>
      <c r="N34" s="26" t="inlineStr">
        <is>
          <t>Dic</t>
        </is>
      </c>
      <c r="O34" s="27" t="inlineStr">
        <is>
          <t>Total 2029</t>
        </is>
      </c>
    </row>
    <row r="35"/>
    <row r="36">
      <c r="A36" s="20" t="inlineStr">
        <is>
          <t>EGRESOS</t>
        </is>
      </c>
      <c r="B36" s="13" t="inlineStr">
        <is>
          <t>Costos fijos</t>
        </is>
      </c>
      <c r="C36" s="28">
        <f>'Costos Fijos'!C88</f>
        <v/>
      </c>
      <c r="D36" s="28">
        <f>'Costos Fijos'!D88</f>
        <v/>
      </c>
      <c r="E36" s="28">
        <f>'Costos Fijos'!E88</f>
        <v/>
      </c>
      <c r="F36" s="28">
        <f>'Costos Fijos'!F88</f>
        <v/>
      </c>
      <c r="G36" s="28">
        <f>'Costos Fijos'!G88</f>
        <v/>
      </c>
      <c r="H36" s="28">
        <f>'Costos Fijos'!H88</f>
        <v/>
      </c>
      <c r="I36" s="28">
        <f>'Costos Fijos'!I88</f>
        <v/>
      </c>
      <c r="J36" s="28">
        <f>'Costos Fijos'!J88</f>
        <v/>
      </c>
      <c r="K36" s="28">
        <f>'Costos Fijos'!K88</f>
        <v/>
      </c>
      <c r="L36" s="28">
        <f>'Costos Fijos'!L88</f>
        <v/>
      </c>
      <c r="M36" s="28">
        <f>'Costos Fijos'!M88</f>
        <v/>
      </c>
      <c r="N36" s="28">
        <f>'Costos Fijos'!N88</f>
        <v/>
      </c>
      <c r="O36" s="29">
        <f>SUM(C36:N36)</f>
        <v/>
      </c>
    </row>
    <row r="37">
      <c r="B37" s="13" t="inlineStr">
        <is>
          <t>Costos variables</t>
        </is>
      </c>
      <c r="C37" s="28">
        <f>'Costos Variables'!C34</f>
        <v/>
      </c>
      <c r="D37" s="28">
        <f>'Costos Variables'!D34</f>
        <v/>
      </c>
      <c r="E37" s="28">
        <f>'Costos Variables'!E34</f>
        <v/>
      </c>
      <c r="F37" s="28">
        <f>'Costos Variables'!F34</f>
        <v/>
      </c>
      <c r="G37" s="28">
        <f>'Costos Variables'!G34</f>
        <v/>
      </c>
      <c r="H37" s="28">
        <f>'Costos Variables'!H34</f>
        <v/>
      </c>
      <c r="I37" s="28">
        <f>'Costos Variables'!I34</f>
        <v/>
      </c>
      <c r="J37" s="28">
        <f>'Costos Variables'!J34</f>
        <v/>
      </c>
      <c r="K37" s="28">
        <f>'Costos Variables'!K34</f>
        <v/>
      </c>
      <c r="L37" s="28">
        <f>'Costos Variables'!L34</f>
        <v/>
      </c>
      <c r="M37" s="28">
        <f>'Costos Variables'!M34</f>
        <v/>
      </c>
      <c r="N37" s="28">
        <f>'Costos Variables'!N34</f>
        <v/>
      </c>
      <c r="O37" s="29">
        <f>SUM(C37:N37)</f>
        <v/>
      </c>
    </row>
    <row r="38">
      <c r="B38" s="13" t="inlineStr">
        <is>
          <t>Costos de RRHH</t>
        </is>
      </c>
      <c r="C38" s="28">
        <f>'RRHH'!C78</f>
        <v/>
      </c>
      <c r="D38" s="28">
        <f>'RRHH'!D78</f>
        <v/>
      </c>
      <c r="E38" s="28">
        <f>'RRHH'!E78</f>
        <v/>
      </c>
      <c r="F38" s="28">
        <f>'RRHH'!F78</f>
        <v/>
      </c>
      <c r="G38" s="28">
        <f>'RRHH'!G78</f>
        <v/>
      </c>
      <c r="H38" s="28">
        <f>'RRHH'!H78</f>
        <v/>
      </c>
      <c r="I38" s="28">
        <f>'RRHH'!I78</f>
        <v/>
      </c>
      <c r="J38" s="28">
        <f>'RRHH'!J78</f>
        <v/>
      </c>
      <c r="K38" s="28">
        <f>'RRHH'!K78</f>
        <v/>
      </c>
      <c r="L38" s="28">
        <f>'RRHH'!L78</f>
        <v/>
      </c>
      <c r="M38" s="28">
        <f>'RRHH'!M78</f>
        <v/>
      </c>
      <c r="N38" s="28">
        <f>'RRHH'!N78</f>
        <v/>
      </c>
      <c r="O38" s="29">
        <f>SUM(C38:N38)</f>
        <v/>
      </c>
    </row>
    <row r="39">
      <c r="B39" s="20" t="inlineStr">
        <is>
          <t>Total de egresos</t>
        </is>
      </c>
      <c r="C39" s="18">
        <f>SUM(C36:C38)</f>
        <v/>
      </c>
      <c r="D39" s="18">
        <f>SUM(D36:D38)</f>
        <v/>
      </c>
      <c r="E39" s="18">
        <f>SUM(E36:E38)</f>
        <v/>
      </c>
      <c r="F39" s="18">
        <f>SUM(F36:F38)</f>
        <v/>
      </c>
      <c r="G39" s="18">
        <f>SUM(G36:G38)</f>
        <v/>
      </c>
      <c r="H39" s="18">
        <f>SUM(H36:H38)</f>
        <v/>
      </c>
      <c r="I39" s="18">
        <f>SUM(I36:I38)</f>
        <v/>
      </c>
      <c r="J39" s="18">
        <f>SUM(J36:J38)</f>
        <v/>
      </c>
      <c r="K39" s="18">
        <f>SUM(K36:K38)</f>
        <v/>
      </c>
      <c r="L39" s="18">
        <f>SUM(L36:L38)</f>
        <v/>
      </c>
      <c r="M39" s="18">
        <f>SUM(M36:M38)</f>
        <v/>
      </c>
      <c r="N39" s="18">
        <f>SUM(N36:N38)</f>
        <v/>
      </c>
      <c r="O39" s="29">
        <f>SUM(C39:N39)</f>
        <v/>
      </c>
    </row>
    <row r="40"/>
    <row r="41">
      <c r="B41" s="9" t="inlineStr">
        <is>
          <t>Margen</t>
        </is>
      </c>
      <c r="C41" s="10" t="n"/>
      <c r="D41" s="10" t="n"/>
      <c r="E41" s="10" t="n"/>
      <c r="F41" s="10" t="n"/>
      <c r="G41" s="10" t="n"/>
      <c r="H41" s="10" t="n"/>
      <c r="I41" s="10" t="n"/>
      <c r="J41" s="10" t="n"/>
      <c r="K41" s="10" t="n"/>
      <c r="L41" s="10" t="n"/>
      <c r="M41" s="10" t="n"/>
      <c r="N41" s="10" t="n"/>
      <c r="O41" s="10" t="n"/>
    </row>
    <row r="42">
      <c r="A42" s="20" t="inlineStr">
        <is>
          <t>MARGEN</t>
        </is>
      </c>
      <c r="B42" s="20" t="inlineStr">
        <is>
          <t>Resultado operativo (ingresos − egresos)</t>
        </is>
      </c>
      <c r="C42" s="18">
        <f>'Modelo de ingresos'!C72-C39</f>
        <v/>
      </c>
      <c r="D42" s="18">
        <f>'Modelo de ingresos'!D72-D39</f>
        <v/>
      </c>
      <c r="E42" s="18">
        <f>'Modelo de ingresos'!E72-E39</f>
        <v/>
      </c>
      <c r="F42" s="18">
        <f>'Modelo de ingresos'!F72-F39</f>
        <v/>
      </c>
      <c r="G42" s="18">
        <f>'Modelo de ingresos'!G72-G39</f>
        <v/>
      </c>
      <c r="H42" s="18">
        <f>'Modelo de ingresos'!H72-H39</f>
        <v/>
      </c>
      <c r="I42" s="18">
        <f>'Modelo de ingresos'!I72-I39</f>
        <v/>
      </c>
      <c r="J42" s="18">
        <f>'Modelo de ingresos'!J72-J39</f>
        <v/>
      </c>
      <c r="K42" s="18">
        <f>'Modelo de ingresos'!K72-K39</f>
        <v/>
      </c>
      <c r="L42" s="18">
        <f>'Modelo de ingresos'!L72-L39</f>
        <v/>
      </c>
      <c r="M42" s="18">
        <f>'Modelo de ingresos'!M72-M39</f>
        <v/>
      </c>
      <c r="N42" s="18">
        <f>'Modelo de ingresos'!N72-N39</f>
        <v/>
      </c>
      <c r="O42" s="29">
        <f>SUM(C42:N42)</f>
        <v/>
      </c>
    </row>
    <row r="43">
      <c r="B43" s="13" t="inlineStr">
        <is>
          <t xml:space="preserve">    Margen sobre ingresos</t>
        </is>
      </c>
      <c r="C43" s="16">
        <f>IFERROR(C42/'Modelo de ingresos'!C72,0)</f>
        <v/>
      </c>
      <c r="D43" s="16">
        <f>IFERROR(D42/'Modelo de ingresos'!D72,0)</f>
        <v/>
      </c>
      <c r="E43" s="16">
        <f>IFERROR(E42/'Modelo de ingresos'!E72,0)</f>
        <v/>
      </c>
      <c r="F43" s="16">
        <f>IFERROR(F42/'Modelo de ingresos'!F72,0)</f>
        <v/>
      </c>
      <c r="G43" s="16">
        <f>IFERROR(G42/'Modelo de ingresos'!G72,0)</f>
        <v/>
      </c>
      <c r="H43" s="16">
        <f>IFERROR(H42/'Modelo de ingresos'!H72,0)</f>
        <v/>
      </c>
      <c r="I43" s="16">
        <f>IFERROR(I42/'Modelo de ingresos'!I72,0)</f>
        <v/>
      </c>
      <c r="J43" s="16">
        <f>IFERROR(J42/'Modelo de ingresos'!J72,0)</f>
        <v/>
      </c>
      <c r="K43" s="16">
        <f>IFERROR(K42/'Modelo de ingresos'!K72,0)</f>
        <v/>
      </c>
      <c r="L43" s="16">
        <f>IFERROR(L42/'Modelo de ingresos'!L72,0)</f>
        <v/>
      </c>
      <c r="M43" s="16">
        <f>IFERROR(M42/'Modelo de ingresos'!M72,0)</f>
        <v/>
      </c>
      <c r="N43" s="16">
        <f>IFERROR(N42/'Modelo de ingresos'!N72,0)</f>
        <v/>
      </c>
    </row>
    <row r="44"/>
    <row r="45"/>
    <row r="46">
      <c r="C46" s="5" t="n">
        <v>2030</v>
      </c>
    </row>
    <row r="47">
      <c r="C47" s="26" t="inlineStr">
        <is>
          <t>Ene</t>
        </is>
      </c>
      <c r="D47" s="26" t="inlineStr">
        <is>
          <t>Feb</t>
        </is>
      </c>
      <c r="E47" s="26" t="inlineStr">
        <is>
          <t>Mar</t>
        </is>
      </c>
      <c r="F47" s="26" t="inlineStr">
        <is>
          <t>Abr</t>
        </is>
      </c>
      <c r="G47" s="26" t="inlineStr">
        <is>
          <t>May</t>
        </is>
      </c>
      <c r="H47" s="26" t="inlineStr">
        <is>
          <t>Jun</t>
        </is>
      </c>
      <c r="I47" s="26" t="inlineStr">
        <is>
          <t>Jul</t>
        </is>
      </c>
      <c r="J47" s="26" t="inlineStr">
        <is>
          <t>Ago</t>
        </is>
      </c>
      <c r="K47" s="26" t="inlineStr">
        <is>
          <t>Sep</t>
        </is>
      </c>
      <c r="L47" s="26" t="inlineStr">
        <is>
          <t>Oct</t>
        </is>
      </c>
      <c r="M47" s="26" t="inlineStr">
        <is>
          <t>Nov</t>
        </is>
      </c>
      <c r="N47" s="26" t="inlineStr">
        <is>
          <t>Dic</t>
        </is>
      </c>
      <c r="O47" s="27" t="inlineStr">
        <is>
          <t>Total 2030</t>
        </is>
      </c>
    </row>
    <row r="48"/>
    <row r="49">
      <c r="A49" s="20" t="inlineStr">
        <is>
          <t>EGRESOS</t>
        </is>
      </c>
      <c r="B49" s="13" t="inlineStr">
        <is>
          <t>Costos fijos</t>
        </is>
      </c>
      <c r="C49" s="28">
        <f>'Costos Fijos'!C116</f>
        <v/>
      </c>
      <c r="D49" s="28">
        <f>'Costos Fijos'!D116</f>
        <v/>
      </c>
      <c r="E49" s="28">
        <f>'Costos Fijos'!E116</f>
        <v/>
      </c>
      <c r="F49" s="28">
        <f>'Costos Fijos'!F116</f>
        <v/>
      </c>
      <c r="G49" s="28">
        <f>'Costos Fijos'!G116</f>
        <v/>
      </c>
      <c r="H49" s="28">
        <f>'Costos Fijos'!H116</f>
        <v/>
      </c>
      <c r="I49" s="28">
        <f>'Costos Fijos'!I116</f>
        <v/>
      </c>
      <c r="J49" s="28">
        <f>'Costos Fijos'!J116</f>
        <v/>
      </c>
      <c r="K49" s="28">
        <f>'Costos Fijos'!K116</f>
        <v/>
      </c>
      <c r="L49" s="28">
        <f>'Costos Fijos'!L116</f>
        <v/>
      </c>
      <c r="M49" s="28">
        <f>'Costos Fijos'!M116</f>
        <v/>
      </c>
      <c r="N49" s="28">
        <f>'Costos Fijos'!N116</f>
        <v/>
      </c>
      <c r="O49" s="29">
        <f>SUM(C49:N49)</f>
        <v/>
      </c>
    </row>
    <row r="50">
      <c r="B50" s="13" t="inlineStr">
        <is>
          <t>Costos variables</t>
        </is>
      </c>
      <c r="C50" s="28">
        <f>'Costos Variables'!C44</f>
        <v/>
      </c>
      <c r="D50" s="28">
        <f>'Costos Variables'!D44</f>
        <v/>
      </c>
      <c r="E50" s="28">
        <f>'Costos Variables'!E44</f>
        <v/>
      </c>
      <c r="F50" s="28">
        <f>'Costos Variables'!F44</f>
        <v/>
      </c>
      <c r="G50" s="28">
        <f>'Costos Variables'!G44</f>
        <v/>
      </c>
      <c r="H50" s="28">
        <f>'Costos Variables'!H44</f>
        <v/>
      </c>
      <c r="I50" s="28">
        <f>'Costos Variables'!I44</f>
        <v/>
      </c>
      <c r="J50" s="28">
        <f>'Costos Variables'!J44</f>
        <v/>
      </c>
      <c r="K50" s="28">
        <f>'Costos Variables'!K44</f>
        <v/>
      </c>
      <c r="L50" s="28">
        <f>'Costos Variables'!L44</f>
        <v/>
      </c>
      <c r="M50" s="28">
        <f>'Costos Variables'!M44</f>
        <v/>
      </c>
      <c r="N50" s="28">
        <f>'Costos Variables'!N44</f>
        <v/>
      </c>
      <c r="O50" s="29">
        <f>SUM(C50:N50)</f>
        <v/>
      </c>
    </row>
    <row r="51">
      <c r="B51" s="13" t="inlineStr">
        <is>
          <t>Costos de RRHH</t>
        </is>
      </c>
      <c r="C51" s="28">
        <f>'RRHH'!C93</f>
        <v/>
      </c>
      <c r="D51" s="28">
        <f>'RRHH'!D93</f>
        <v/>
      </c>
      <c r="E51" s="28">
        <f>'RRHH'!E93</f>
        <v/>
      </c>
      <c r="F51" s="28">
        <f>'RRHH'!F93</f>
        <v/>
      </c>
      <c r="G51" s="28">
        <f>'RRHH'!G93</f>
        <v/>
      </c>
      <c r="H51" s="28">
        <f>'RRHH'!H93</f>
        <v/>
      </c>
      <c r="I51" s="28">
        <f>'RRHH'!I93</f>
        <v/>
      </c>
      <c r="J51" s="28">
        <f>'RRHH'!J93</f>
        <v/>
      </c>
      <c r="K51" s="28">
        <f>'RRHH'!K93</f>
        <v/>
      </c>
      <c r="L51" s="28">
        <f>'RRHH'!L93</f>
        <v/>
      </c>
      <c r="M51" s="28">
        <f>'RRHH'!M93</f>
        <v/>
      </c>
      <c r="N51" s="28">
        <f>'RRHH'!N93</f>
        <v/>
      </c>
      <c r="O51" s="29">
        <f>SUM(C51:N51)</f>
        <v/>
      </c>
    </row>
    <row r="52">
      <c r="B52" s="20" t="inlineStr">
        <is>
          <t>Total de egresos</t>
        </is>
      </c>
      <c r="C52" s="18">
        <f>SUM(C49:C51)</f>
        <v/>
      </c>
      <c r="D52" s="18">
        <f>SUM(D49:D51)</f>
        <v/>
      </c>
      <c r="E52" s="18">
        <f>SUM(E49:E51)</f>
        <v/>
      </c>
      <c r="F52" s="18">
        <f>SUM(F49:F51)</f>
        <v/>
      </c>
      <c r="G52" s="18">
        <f>SUM(G49:G51)</f>
        <v/>
      </c>
      <c r="H52" s="18">
        <f>SUM(H49:H51)</f>
        <v/>
      </c>
      <c r="I52" s="18">
        <f>SUM(I49:I51)</f>
        <v/>
      </c>
      <c r="J52" s="18">
        <f>SUM(J49:J51)</f>
        <v/>
      </c>
      <c r="K52" s="18">
        <f>SUM(K49:K51)</f>
        <v/>
      </c>
      <c r="L52" s="18">
        <f>SUM(L49:L51)</f>
        <v/>
      </c>
      <c r="M52" s="18">
        <f>SUM(M49:M51)</f>
        <v/>
      </c>
      <c r="N52" s="18">
        <f>SUM(N49:N51)</f>
        <v/>
      </c>
      <c r="O52" s="29">
        <f>SUM(C52:N52)</f>
        <v/>
      </c>
    </row>
    <row r="53"/>
    <row r="54">
      <c r="B54" s="9" t="inlineStr">
        <is>
          <t>Margen</t>
        </is>
      </c>
      <c r="C54" s="10" t="n"/>
      <c r="D54" s="10" t="n"/>
      <c r="E54" s="10" t="n"/>
      <c r="F54" s="10" t="n"/>
      <c r="G54" s="10" t="n"/>
      <c r="H54" s="10" t="n"/>
      <c r="I54" s="10" t="n"/>
      <c r="J54" s="10" t="n"/>
      <c r="K54" s="10" t="n"/>
      <c r="L54" s="10" t="n"/>
      <c r="M54" s="10" t="n"/>
      <c r="N54" s="10" t="n"/>
      <c r="O54" s="10" t="n"/>
    </row>
    <row r="55">
      <c r="A55" s="20" t="inlineStr">
        <is>
          <t>MARGEN</t>
        </is>
      </c>
      <c r="B55" s="20" t="inlineStr">
        <is>
          <t>Resultado operativo (ingresos − egresos)</t>
        </is>
      </c>
      <c r="C55" s="18">
        <f>'Modelo de ingresos'!C95-C52</f>
        <v/>
      </c>
      <c r="D55" s="18">
        <f>'Modelo de ingresos'!D95-D52</f>
        <v/>
      </c>
      <c r="E55" s="18">
        <f>'Modelo de ingresos'!E95-E52</f>
        <v/>
      </c>
      <c r="F55" s="18">
        <f>'Modelo de ingresos'!F95-F52</f>
        <v/>
      </c>
      <c r="G55" s="18">
        <f>'Modelo de ingresos'!G95-G52</f>
        <v/>
      </c>
      <c r="H55" s="18">
        <f>'Modelo de ingresos'!H95-H52</f>
        <v/>
      </c>
      <c r="I55" s="18">
        <f>'Modelo de ingresos'!I95-I52</f>
        <v/>
      </c>
      <c r="J55" s="18">
        <f>'Modelo de ingresos'!J95-J52</f>
        <v/>
      </c>
      <c r="K55" s="18">
        <f>'Modelo de ingresos'!K95-K52</f>
        <v/>
      </c>
      <c r="L55" s="18">
        <f>'Modelo de ingresos'!L95-L52</f>
        <v/>
      </c>
      <c r="M55" s="18">
        <f>'Modelo de ingresos'!M95-M52</f>
        <v/>
      </c>
      <c r="N55" s="18">
        <f>'Modelo de ingresos'!N95-N52</f>
        <v/>
      </c>
      <c r="O55" s="29">
        <f>SUM(C55:N55)</f>
        <v/>
      </c>
    </row>
    <row r="56">
      <c r="B56" s="13" t="inlineStr">
        <is>
          <t xml:space="preserve">    Margen sobre ingresos</t>
        </is>
      </c>
      <c r="C56" s="16">
        <f>IFERROR(C55/'Modelo de ingresos'!C95,0)</f>
        <v/>
      </c>
      <c r="D56" s="16">
        <f>IFERROR(D55/'Modelo de ingresos'!D95,0)</f>
        <v/>
      </c>
      <c r="E56" s="16">
        <f>IFERROR(E55/'Modelo de ingresos'!E95,0)</f>
        <v/>
      </c>
      <c r="F56" s="16">
        <f>IFERROR(F55/'Modelo de ingresos'!F95,0)</f>
        <v/>
      </c>
      <c r="G56" s="16">
        <f>IFERROR(G55/'Modelo de ingresos'!G95,0)</f>
        <v/>
      </c>
      <c r="H56" s="16">
        <f>IFERROR(H55/'Modelo de ingresos'!H95,0)</f>
        <v/>
      </c>
      <c r="I56" s="16">
        <f>IFERROR(I55/'Modelo de ingresos'!I95,0)</f>
        <v/>
      </c>
      <c r="J56" s="16">
        <f>IFERROR(J55/'Modelo de ingresos'!J95,0)</f>
        <v/>
      </c>
      <c r="K56" s="16">
        <f>IFERROR(K55/'Modelo de ingresos'!K95,0)</f>
        <v/>
      </c>
      <c r="L56" s="16">
        <f>IFERROR(L55/'Modelo de ingresos'!L95,0)</f>
        <v/>
      </c>
      <c r="M56" s="16">
        <f>IFERROR(M55/'Modelo de ingresos'!M95,0)</f>
        <v/>
      </c>
      <c r="N56" s="16">
        <f>IFERROR(N55/'Modelo de ingresos'!N95,0)</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7.xml><?xml version="1.0" encoding="utf-8"?>
<worksheet xmlns="http://schemas.openxmlformats.org/spreadsheetml/2006/main">
  <sheetPr>
    <tabColor rgb="00ED7D31"/>
    <outlinePr summaryBelow="1" summaryRight="1"/>
    <pageSetUpPr/>
  </sheetPr>
  <dimension ref="A1:U116"/>
  <sheetViews>
    <sheetView showGridLines="0" workbookViewId="0">
      <pane xSplit="2" topLeftCell="C1" activePane="topRight" state="frozen"/>
      <selection pane="topRight" activeCell="A1" sqref="A1"/>
    </sheetView>
  </sheetViews>
  <sheetFormatPr baseColWidth="8" defaultRowHeight="15"/>
  <cols>
    <col width="22" customWidth="1" min="1" max="1"/>
    <col width="4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 width="30" customWidth="1" min="17" max="17"/>
    <col width="14" customWidth="1" min="18" max="18"/>
    <col width="14"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14"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4"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4" customWidth="1" min="54" max="54"/>
  </cols>
  <sheetData>
    <row r="1">
      <c r="A1" s="7" t="inlineStr">
        <is>
          <t>« Inicio</t>
        </is>
      </c>
    </row>
    <row r="2" ht="24" customHeight="1">
      <c r="B2" s="8" t="inlineStr">
        <is>
          <t>COSTOS FIJOS</t>
        </is>
      </c>
    </row>
    <row r="3">
      <c r="B3" s="3" t="inlineStr">
        <is>
          <t>No dependen del volumen de clientes. Se carga el importe mensual promedio de cada año y se mantiene plano dentro del año: el salto de un año al siguiente absorbe la inflación y el crecimiento de la estructura, que en estos conceptos no es gradual sino escalonado.</t>
        </is>
      </c>
      <c r="Q3" s="5" t="inlineStr">
        <is>
          <t>Resumen anual</t>
        </is>
      </c>
    </row>
    <row r="4">
      <c r="Q4" s="3" t="inlineStr">
        <is>
          <t>Los totales de cada año, que son los que alimentan el gráfico.</t>
        </is>
      </c>
    </row>
    <row r="5">
      <c r="Q5" s="20" t="inlineStr">
        <is>
          <t>Concepto</t>
        </is>
      </c>
      <c r="R5" s="11" t="n">
        <v>2027</v>
      </c>
      <c r="S5" s="11" t="n">
        <v>2028</v>
      </c>
      <c r="T5" s="11" t="n">
        <v>2029</v>
      </c>
      <c r="U5" s="11" t="n">
        <v>2030</v>
      </c>
    </row>
    <row r="6">
      <c r="Q6" s="13" t="inlineStr">
        <is>
          <t>Total de costos fijos</t>
        </is>
      </c>
      <c r="R6" s="28">
        <f>O32</f>
        <v/>
      </c>
      <c r="S6" s="28">
        <f>O60</f>
        <v/>
      </c>
      <c r="T6" s="28">
        <f>O88</f>
        <v/>
      </c>
      <c r="U6" s="28">
        <f>O116</f>
        <v/>
      </c>
    </row>
    <row r="7">
      <c r="C7" s="5" t="n">
        <v>2027</v>
      </c>
    </row>
    <row r="8">
      <c r="C8" s="26" t="inlineStr">
        <is>
          <t>Ene</t>
        </is>
      </c>
      <c r="D8" s="26" t="inlineStr">
        <is>
          <t>Feb</t>
        </is>
      </c>
      <c r="E8" s="26" t="inlineStr">
        <is>
          <t>Mar</t>
        </is>
      </c>
      <c r="F8" s="26" t="inlineStr">
        <is>
          <t>Abr</t>
        </is>
      </c>
      <c r="G8" s="26" t="inlineStr">
        <is>
          <t>May</t>
        </is>
      </c>
      <c r="H8" s="26" t="inlineStr">
        <is>
          <t>Jun</t>
        </is>
      </c>
      <c r="I8" s="26" t="inlineStr">
        <is>
          <t>Jul</t>
        </is>
      </c>
      <c r="J8" s="26" t="inlineStr">
        <is>
          <t>Ago</t>
        </is>
      </c>
      <c r="K8" s="26" t="inlineStr">
        <is>
          <t>Sep</t>
        </is>
      </c>
      <c r="L8" s="26" t="inlineStr">
        <is>
          <t>Oct</t>
        </is>
      </c>
      <c r="M8" s="26" t="inlineStr">
        <is>
          <t>Nov</t>
        </is>
      </c>
      <c r="N8" s="26" t="inlineStr">
        <is>
          <t>Dic</t>
        </is>
      </c>
      <c r="O8" s="27" t="inlineStr">
        <is>
          <t>Total 2027</t>
        </is>
      </c>
    </row>
    <row r="9"/>
    <row r="10">
      <c r="B10" s="9" t="inlineStr">
        <is>
          <t>Importe mensual por año (celdas de entrada)</t>
        </is>
      </c>
      <c r="C10" s="10" t="n"/>
      <c r="D10" s="10" t="n"/>
      <c r="E10" s="10" t="n"/>
      <c r="F10" s="10" t="n"/>
      <c r="G10" s="10" t="n"/>
      <c r="H10" s="10" t="n"/>
      <c r="I10" s="10" t="n"/>
      <c r="J10" s="10" t="n"/>
      <c r="K10" s="10" t="n"/>
      <c r="L10" s="10" t="n"/>
      <c r="M10" s="10" t="n"/>
      <c r="N10" s="10" t="n"/>
      <c r="O10" s="10" t="n"/>
    </row>
    <row r="11">
      <c r="C11" s="11" t="n">
        <v>2027</v>
      </c>
      <c r="D11" s="11" t="n">
        <v>2028</v>
      </c>
      <c r="E11" s="11" t="n">
        <v>2029</v>
      </c>
      <c r="F11" s="11" t="n">
        <v>2030</v>
      </c>
      <c r="G11" s="11" t="inlineStr">
        <is>
          <t>CAPEX / OPEX</t>
        </is>
      </c>
      <c r="H11" s="11" t="inlineStr">
        <is>
          <t>Origen</t>
        </is>
      </c>
    </row>
    <row r="12">
      <c r="A12" s="20" t="inlineStr">
        <is>
          <t>Infraestructura</t>
        </is>
      </c>
      <c r="B12" s="13" t="inlineStr">
        <is>
          <t>Infraestructura en la nube (base)</t>
        </is>
      </c>
      <c r="C12" s="15" t="n">
        <v>120000</v>
      </c>
      <c r="D12" s="15" t="n">
        <v>200000</v>
      </c>
      <c r="E12" s="15" t="n">
        <v>320000</v>
      </c>
      <c r="F12" s="15" t="n">
        <v>430000</v>
      </c>
      <c r="G12" s="37" t="inlineStr">
        <is>
          <t>OPEX</t>
        </is>
      </c>
      <c r="H12" s="37" t="inlineStr">
        <is>
          <t>Exterior</t>
        </is>
      </c>
      <c r="J12" s="3" t="inlineStr">
        <is>
          <t>AWS o Azure. La Clase 3 lo clasifica como OPEX: no se activa, se consume</t>
        </is>
      </c>
    </row>
    <row r="13">
      <c r="A13" s="20" t="inlineStr">
        <is>
          <t>Infraestructura</t>
        </is>
      </c>
      <c r="B13" s="13" t="inlineStr">
        <is>
          <t>Herramientas y licencias de desarrollo</t>
        </is>
      </c>
      <c r="C13" s="15" t="n">
        <v>40000</v>
      </c>
      <c r="D13" s="15" t="n">
        <v>60000</v>
      </c>
      <c r="E13" s="15" t="n">
        <v>90000</v>
      </c>
      <c r="F13" s="15" t="n">
        <v>120000</v>
      </c>
      <c r="G13" s="37" t="inlineStr">
        <is>
          <t>OPEX</t>
        </is>
      </c>
      <c r="H13" s="37" t="inlineStr">
        <is>
          <t>Exterior</t>
        </is>
      </c>
      <c r="J13" s="3" t="inlineStr">
        <is>
          <t>GitHub, Jira y similares. SaaS del exterior</t>
        </is>
      </c>
    </row>
    <row r="14">
      <c r="A14" s="20" t="inlineStr">
        <is>
          <t>Infraestructura</t>
        </is>
      </c>
      <c r="B14" s="13" t="inlineStr">
        <is>
          <t>Herramientas de IA del equipo</t>
        </is>
      </c>
      <c r="C14" s="15" t="n">
        <v>90000</v>
      </c>
      <c r="D14" s="15" t="n">
        <v>140000</v>
      </c>
      <c r="E14" s="15" t="n">
        <v>200000</v>
      </c>
      <c r="F14" s="15" t="n">
        <v>260000</v>
      </c>
      <c r="G14" s="37" t="inlineStr">
        <is>
          <t>OPEX</t>
        </is>
      </c>
      <c r="H14" s="37" t="inlineStr">
        <is>
          <t>Exterior</t>
        </is>
      </c>
      <c r="J14" s="3" t="inlineStr">
        <is>
          <t>Claude Teams y asistentes de código, una licencia por persona de desarrollo y soporte. Es el gasto que más creció en el sector y no estaba en el modelo</t>
        </is>
      </c>
    </row>
    <row r="15">
      <c r="A15" s="20" t="inlineStr">
        <is>
          <t>Comercial</t>
        </is>
      </c>
      <c r="B15" s="13" t="inlineStr">
        <is>
          <t>Marketing y contenidos</t>
        </is>
      </c>
      <c r="C15" s="15" t="n">
        <v>175000</v>
      </c>
      <c r="D15" s="15" t="n">
        <v>260000</v>
      </c>
      <c r="E15" s="15" t="n">
        <v>340000</v>
      </c>
      <c r="F15" s="15" t="n">
        <v>420000</v>
      </c>
      <c r="G15" s="37" t="inlineStr">
        <is>
          <t>OPEX</t>
        </is>
      </c>
      <c r="H15" s="37" t="inlineStr">
        <is>
          <t>Local</t>
        </is>
      </c>
      <c r="J15" s="3" t="inlineStr">
        <is>
          <t>Pauta, contenidos y herramientas de campaña</t>
        </is>
      </c>
    </row>
    <row r="16">
      <c r="A16" s="20" t="inlineStr">
        <is>
          <t>Administración</t>
        </is>
      </c>
      <c r="B16" s="13" t="inlineStr">
        <is>
          <t>Estudio contable y legales</t>
        </is>
      </c>
      <c r="C16" s="15" t="n">
        <v>105000</v>
      </c>
      <c r="D16" s="15" t="n">
        <v>130000</v>
      </c>
      <c r="E16" s="15" t="n">
        <v>170000</v>
      </c>
      <c r="F16" s="15" t="n">
        <v>210000</v>
      </c>
      <c r="G16" s="37" t="inlineStr">
        <is>
          <t>OPEX</t>
        </is>
      </c>
      <c r="H16" s="37" t="inlineStr">
        <is>
          <t>Local</t>
        </is>
      </c>
      <c r="J16" s="3" t="inlineStr">
        <is>
          <t>Honorarios mensuales del estudio</t>
        </is>
      </c>
    </row>
    <row r="17">
      <c r="A17" s="20" t="inlineStr">
        <is>
          <t>Operación</t>
        </is>
      </c>
      <c r="B17" s="13" t="inlineStr">
        <is>
          <t>Espacio de trabajo y telefonía</t>
        </is>
      </c>
      <c r="C17" s="15" t="n">
        <v>45000</v>
      </c>
      <c r="D17" s="15" t="n">
        <v>68000</v>
      </c>
      <c r="E17" s="15" t="n">
        <v>105000</v>
      </c>
      <c r="F17" s="15" t="n">
        <v>145000</v>
      </c>
      <c r="G17" s="37" t="inlineStr">
        <is>
          <t>OPEX</t>
        </is>
      </c>
      <c r="H17" s="37" t="inlineStr">
        <is>
          <t>Local</t>
        </is>
      </c>
      <c r="J17" s="3" t="inlineStr">
        <is>
          <t>Coworking por puesto y telefonía. No hay inmueble propio, así que el modelo no tiene impuesto inmobiliario</t>
        </is>
      </c>
    </row>
    <row r="18">
      <c r="A18" s="20" t="inlineStr">
        <is>
          <t>Operación</t>
        </is>
      </c>
      <c r="B18" s="13" t="inlineStr">
        <is>
          <t>Conectividad del equipo remoto</t>
        </is>
      </c>
      <c r="C18" s="15" t="n">
        <v>24000</v>
      </c>
      <c r="D18" s="15" t="n">
        <v>40000</v>
      </c>
      <c r="E18" s="15" t="n">
        <v>60000</v>
      </c>
      <c r="F18" s="15" t="n">
        <v>84000</v>
      </c>
      <c r="G18" s="37" t="inlineStr">
        <is>
          <t>OPEX</t>
        </is>
      </c>
      <c r="H18" s="37" t="inlineStr">
        <is>
          <t>Local</t>
        </is>
      </c>
      <c r="J18" s="3" t="inlineStr">
        <is>
          <t>Reintegro de internet a cada persona: el equipo trabaja remoto y la conexión es una condición de trabajo, no un gasto personal</t>
        </is>
      </c>
    </row>
    <row r="19">
      <c r="A19" s="20" t="inlineStr">
        <is>
          <t>Operación</t>
        </is>
      </c>
      <c r="B19" s="13" t="inlineStr">
        <is>
          <t>Otros gastos operativos</t>
        </is>
      </c>
      <c r="C19" s="15" t="n">
        <v>40000</v>
      </c>
      <c r="D19" s="15" t="n">
        <v>60000</v>
      </c>
      <c r="E19" s="15" t="n">
        <v>90000</v>
      </c>
      <c r="F19" s="15" t="n">
        <v>120000</v>
      </c>
      <c r="G19" s="37" t="inlineStr">
        <is>
          <t>OPEX</t>
        </is>
      </c>
      <c r="H19" s="37" t="inlineStr">
        <is>
          <t>Local</t>
        </is>
      </c>
      <c r="J19" s="3" t="inlineStr">
        <is>
          <t>Bancarios, papelería, imprevistos menores</t>
        </is>
      </c>
    </row>
    <row r="20">
      <c r="B20" s="20" t="inlineStr">
        <is>
          <t>Total mensual</t>
        </is>
      </c>
      <c r="C20" s="18">
        <f>SUM(C12:C19)</f>
        <v/>
      </c>
      <c r="D20" s="18">
        <f>SUM(D12:D19)</f>
        <v/>
      </c>
      <c r="E20" s="18">
        <f>SUM(E12:E19)</f>
        <v/>
      </c>
      <c r="F20" s="18">
        <f>SUM(F12:F19)</f>
        <v/>
      </c>
    </row>
    <row r="21">
      <c r="B21" s="13" t="inlineStr">
        <is>
          <t xml:space="preserve">    del cual se paga al exterior</t>
        </is>
      </c>
      <c r="C21" s="28">
        <f>SUMIF($H$12:$H$19,"Exterior",C12:C19)</f>
        <v/>
      </c>
      <c r="D21" s="28">
        <f>SUMIF($H$12:$H$19,"Exterior",D12:D19)</f>
        <v/>
      </c>
      <c r="E21" s="28">
        <f>SUMIF($H$12:$H$19,"Exterior",E12:E19)</f>
        <v/>
      </c>
      <c r="F21" s="28">
        <f>SUMIF($H$12:$H$19,"Exterior",F12:F19)</f>
        <v/>
      </c>
      <c r="J21" s="3" t="inlineStr">
        <is>
          <t>Servicios digitales importados: nube, licencias y herramientas de IA. La hoja Impuestos les aplica el IVA acrecentado y la retención a beneficiarios del exterior</t>
        </is>
      </c>
    </row>
    <row r="22"/>
    <row r="23">
      <c r="B23" s="9" t="inlineStr">
        <is>
          <t>Desarrollo mensual</t>
        </is>
      </c>
      <c r="C23" s="10" t="n"/>
      <c r="D23" s="10" t="n"/>
      <c r="E23" s="10" t="n"/>
      <c r="F23" s="10" t="n"/>
      <c r="G23" s="10" t="n"/>
      <c r="H23" s="10" t="n"/>
      <c r="I23" s="10" t="n"/>
      <c r="J23" s="10" t="n"/>
      <c r="K23" s="10" t="n"/>
      <c r="L23" s="10" t="n"/>
      <c r="M23" s="10" t="n"/>
      <c r="N23" s="10" t="n"/>
      <c r="O23" s="10" t="n"/>
    </row>
    <row r="24">
      <c r="A24" s="20" t="inlineStr">
        <is>
          <t>Infraestructura</t>
        </is>
      </c>
      <c r="B24" s="13" t="inlineStr">
        <is>
          <t>Infraestructura en la nube (base)</t>
        </is>
      </c>
      <c r="C24" s="28">
        <f>$C$12</f>
        <v/>
      </c>
      <c r="D24" s="28">
        <f>$C$12</f>
        <v/>
      </c>
      <c r="E24" s="28">
        <f>$C$12</f>
        <v/>
      </c>
      <c r="F24" s="28">
        <f>$C$12</f>
        <v/>
      </c>
      <c r="G24" s="28">
        <f>$C$12</f>
        <v/>
      </c>
      <c r="H24" s="28">
        <f>$C$12</f>
        <v/>
      </c>
      <c r="I24" s="28">
        <f>$C$12</f>
        <v/>
      </c>
      <c r="J24" s="28">
        <f>$C$12</f>
        <v/>
      </c>
      <c r="K24" s="28">
        <f>$C$12</f>
        <v/>
      </c>
      <c r="L24" s="28">
        <f>$C$12</f>
        <v/>
      </c>
      <c r="M24" s="28">
        <f>$C$12</f>
        <v/>
      </c>
      <c r="N24" s="28">
        <f>$C$12</f>
        <v/>
      </c>
      <c r="O24" s="29">
        <f>SUM(C24:N24)</f>
        <v/>
      </c>
    </row>
    <row r="25">
      <c r="A25" s="20" t="inlineStr">
        <is>
          <t>Infraestructura</t>
        </is>
      </c>
      <c r="B25" s="13" t="inlineStr">
        <is>
          <t>Herramientas y licencias de desarrollo</t>
        </is>
      </c>
      <c r="C25" s="28">
        <f>$C$13</f>
        <v/>
      </c>
      <c r="D25" s="28">
        <f>$C$13</f>
        <v/>
      </c>
      <c r="E25" s="28">
        <f>$C$13</f>
        <v/>
      </c>
      <c r="F25" s="28">
        <f>$C$13</f>
        <v/>
      </c>
      <c r="G25" s="28">
        <f>$C$13</f>
        <v/>
      </c>
      <c r="H25" s="28">
        <f>$C$13</f>
        <v/>
      </c>
      <c r="I25" s="28">
        <f>$C$13</f>
        <v/>
      </c>
      <c r="J25" s="28">
        <f>$C$13</f>
        <v/>
      </c>
      <c r="K25" s="28">
        <f>$C$13</f>
        <v/>
      </c>
      <c r="L25" s="28">
        <f>$C$13</f>
        <v/>
      </c>
      <c r="M25" s="28">
        <f>$C$13</f>
        <v/>
      </c>
      <c r="N25" s="28">
        <f>$C$13</f>
        <v/>
      </c>
      <c r="O25" s="29">
        <f>SUM(C25:N25)</f>
        <v/>
      </c>
    </row>
    <row r="26">
      <c r="A26" s="20" t="inlineStr">
        <is>
          <t>Infraestructura</t>
        </is>
      </c>
      <c r="B26" s="13" t="inlineStr">
        <is>
          <t>Herramientas de IA del equipo</t>
        </is>
      </c>
      <c r="C26" s="28">
        <f>$C$14</f>
        <v/>
      </c>
      <c r="D26" s="28">
        <f>$C$14</f>
        <v/>
      </c>
      <c r="E26" s="28">
        <f>$C$14</f>
        <v/>
      </c>
      <c r="F26" s="28">
        <f>$C$14</f>
        <v/>
      </c>
      <c r="G26" s="28">
        <f>$C$14</f>
        <v/>
      </c>
      <c r="H26" s="28">
        <f>$C$14</f>
        <v/>
      </c>
      <c r="I26" s="28">
        <f>$C$14</f>
        <v/>
      </c>
      <c r="J26" s="28">
        <f>$C$14</f>
        <v/>
      </c>
      <c r="K26" s="28">
        <f>$C$14</f>
        <v/>
      </c>
      <c r="L26" s="28">
        <f>$C$14</f>
        <v/>
      </c>
      <c r="M26" s="28">
        <f>$C$14</f>
        <v/>
      </c>
      <c r="N26" s="28">
        <f>$C$14</f>
        <v/>
      </c>
      <c r="O26" s="29">
        <f>SUM(C26:N26)</f>
        <v/>
      </c>
    </row>
    <row r="27">
      <c r="A27" s="20" t="inlineStr">
        <is>
          <t>Comercial</t>
        </is>
      </c>
      <c r="B27" s="13" t="inlineStr">
        <is>
          <t>Marketing y contenidos</t>
        </is>
      </c>
      <c r="C27" s="28">
        <f>$C$15</f>
        <v/>
      </c>
      <c r="D27" s="28">
        <f>$C$15</f>
        <v/>
      </c>
      <c r="E27" s="28">
        <f>$C$15</f>
        <v/>
      </c>
      <c r="F27" s="28">
        <f>$C$15</f>
        <v/>
      </c>
      <c r="G27" s="28">
        <f>$C$15</f>
        <v/>
      </c>
      <c r="H27" s="28">
        <f>$C$15</f>
        <v/>
      </c>
      <c r="I27" s="28">
        <f>$C$15</f>
        <v/>
      </c>
      <c r="J27" s="28">
        <f>$C$15</f>
        <v/>
      </c>
      <c r="K27" s="28">
        <f>$C$15</f>
        <v/>
      </c>
      <c r="L27" s="28">
        <f>$C$15</f>
        <v/>
      </c>
      <c r="M27" s="28">
        <f>$C$15</f>
        <v/>
      </c>
      <c r="N27" s="28">
        <f>$C$15</f>
        <v/>
      </c>
      <c r="O27" s="29">
        <f>SUM(C27:N27)</f>
        <v/>
      </c>
    </row>
    <row r="28">
      <c r="A28" s="20" t="inlineStr">
        <is>
          <t>Administración</t>
        </is>
      </c>
      <c r="B28" s="13" t="inlineStr">
        <is>
          <t>Estudio contable y legales</t>
        </is>
      </c>
      <c r="C28" s="28">
        <f>$C$16</f>
        <v/>
      </c>
      <c r="D28" s="28">
        <f>$C$16</f>
        <v/>
      </c>
      <c r="E28" s="28">
        <f>$C$16</f>
        <v/>
      </c>
      <c r="F28" s="28">
        <f>$C$16</f>
        <v/>
      </c>
      <c r="G28" s="28">
        <f>$C$16</f>
        <v/>
      </c>
      <c r="H28" s="28">
        <f>$C$16</f>
        <v/>
      </c>
      <c r="I28" s="28">
        <f>$C$16</f>
        <v/>
      </c>
      <c r="J28" s="28">
        <f>$C$16</f>
        <v/>
      </c>
      <c r="K28" s="28">
        <f>$C$16</f>
        <v/>
      </c>
      <c r="L28" s="28">
        <f>$C$16</f>
        <v/>
      </c>
      <c r="M28" s="28">
        <f>$C$16</f>
        <v/>
      </c>
      <c r="N28" s="28">
        <f>$C$16</f>
        <v/>
      </c>
      <c r="O28" s="29">
        <f>SUM(C28:N28)</f>
        <v/>
      </c>
    </row>
    <row r="29">
      <c r="A29" s="20" t="inlineStr">
        <is>
          <t>Operación</t>
        </is>
      </c>
      <c r="B29" s="13" t="inlineStr">
        <is>
          <t>Espacio de trabajo y telefonía</t>
        </is>
      </c>
      <c r="C29" s="28">
        <f>$C$17</f>
        <v/>
      </c>
      <c r="D29" s="28">
        <f>$C$17</f>
        <v/>
      </c>
      <c r="E29" s="28">
        <f>$C$17</f>
        <v/>
      </c>
      <c r="F29" s="28">
        <f>$C$17</f>
        <v/>
      </c>
      <c r="G29" s="28">
        <f>$C$17</f>
        <v/>
      </c>
      <c r="H29" s="28">
        <f>$C$17</f>
        <v/>
      </c>
      <c r="I29" s="28">
        <f>$C$17</f>
        <v/>
      </c>
      <c r="J29" s="28">
        <f>$C$17</f>
        <v/>
      </c>
      <c r="K29" s="28">
        <f>$C$17</f>
        <v/>
      </c>
      <c r="L29" s="28">
        <f>$C$17</f>
        <v/>
      </c>
      <c r="M29" s="28">
        <f>$C$17</f>
        <v/>
      </c>
      <c r="N29" s="28">
        <f>$C$17</f>
        <v/>
      </c>
      <c r="O29" s="29">
        <f>SUM(C29:N29)</f>
        <v/>
      </c>
    </row>
    <row r="30">
      <c r="A30" s="20" t="inlineStr">
        <is>
          <t>Operación</t>
        </is>
      </c>
      <c r="B30" s="13" t="inlineStr">
        <is>
          <t>Conectividad del equipo remoto</t>
        </is>
      </c>
      <c r="C30" s="28">
        <f>$C$18</f>
        <v/>
      </c>
      <c r="D30" s="28">
        <f>$C$18</f>
        <v/>
      </c>
      <c r="E30" s="28">
        <f>$C$18</f>
        <v/>
      </c>
      <c r="F30" s="28">
        <f>$C$18</f>
        <v/>
      </c>
      <c r="G30" s="28">
        <f>$C$18</f>
        <v/>
      </c>
      <c r="H30" s="28">
        <f>$C$18</f>
        <v/>
      </c>
      <c r="I30" s="28">
        <f>$C$18</f>
        <v/>
      </c>
      <c r="J30" s="28">
        <f>$C$18</f>
        <v/>
      </c>
      <c r="K30" s="28">
        <f>$C$18</f>
        <v/>
      </c>
      <c r="L30" s="28">
        <f>$C$18</f>
        <v/>
      </c>
      <c r="M30" s="28">
        <f>$C$18</f>
        <v/>
      </c>
      <c r="N30" s="28">
        <f>$C$18</f>
        <v/>
      </c>
      <c r="O30" s="29">
        <f>SUM(C30:N30)</f>
        <v/>
      </c>
    </row>
    <row r="31">
      <c r="A31" s="20" t="inlineStr">
        <is>
          <t>Operación</t>
        </is>
      </c>
      <c r="B31" s="13" t="inlineStr">
        <is>
          <t>Otros gastos operativos</t>
        </is>
      </c>
      <c r="C31" s="28">
        <f>$C$19</f>
        <v/>
      </c>
      <c r="D31" s="28">
        <f>$C$19</f>
        <v/>
      </c>
      <c r="E31" s="28">
        <f>$C$19</f>
        <v/>
      </c>
      <c r="F31" s="28">
        <f>$C$19</f>
        <v/>
      </c>
      <c r="G31" s="28">
        <f>$C$19</f>
        <v/>
      </c>
      <c r="H31" s="28">
        <f>$C$19</f>
        <v/>
      </c>
      <c r="I31" s="28">
        <f>$C$19</f>
        <v/>
      </c>
      <c r="J31" s="28">
        <f>$C$19</f>
        <v/>
      </c>
      <c r="K31" s="28">
        <f>$C$19</f>
        <v/>
      </c>
      <c r="L31" s="28">
        <f>$C$19</f>
        <v/>
      </c>
      <c r="M31" s="28">
        <f>$C$19</f>
        <v/>
      </c>
      <c r="N31" s="28">
        <f>$C$19</f>
        <v/>
      </c>
      <c r="O31" s="29">
        <f>SUM(C31:N31)</f>
        <v/>
      </c>
    </row>
    <row r="32">
      <c r="A32" s="20" t="inlineStr">
        <is>
          <t>COSTOS FIJOS</t>
        </is>
      </c>
      <c r="B32" s="20" t="inlineStr">
        <is>
          <t>Total de costos fijos</t>
        </is>
      </c>
      <c r="C32" s="18">
        <f>SUM(C24:C31)</f>
        <v/>
      </c>
      <c r="D32" s="18">
        <f>SUM(D24:D31)</f>
        <v/>
      </c>
      <c r="E32" s="18">
        <f>SUM(E24:E31)</f>
        <v/>
      </c>
      <c r="F32" s="18">
        <f>SUM(F24:F31)</f>
        <v/>
      </c>
      <c r="G32" s="18">
        <f>SUM(G24:G31)</f>
        <v/>
      </c>
      <c r="H32" s="18">
        <f>SUM(H24:H31)</f>
        <v/>
      </c>
      <c r="I32" s="18">
        <f>SUM(I24:I31)</f>
        <v/>
      </c>
      <c r="J32" s="18">
        <f>SUM(J24:J31)</f>
        <v/>
      </c>
      <c r="K32" s="18">
        <f>SUM(K24:K31)</f>
        <v/>
      </c>
      <c r="L32" s="18">
        <f>SUM(L24:L31)</f>
        <v/>
      </c>
      <c r="M32" s="18">
        <f>SUM(M24:M31)</f>
        <v/>
      </c>
      <c r="N32" s="18">
        <f>SUM(N24:N31)</f>
        <v/>
      </c>
      <c r="O32" s="29">
        <f>SUM(C32:N32)</f>
        <v/>
      </c>
    </row>
    <row r="33"/>
    <row r="34"/>
    <row r="35">
      <c r="C35" s="5" t="n">
        <v>2028</v>
      </c>
    </row>
    <row r="36">
      <c r="C36" s="26" t="inlineStr">
        <is>
          <t>Ene</t>
        </is>
      </c>
      <c r="D36" s="26" t="inlineStr">
        <is>
          <t>Feb</t>
        </is>
      </c>
      <c r="E36" s="26" t="inlineStr">
        <is>
          <t>Mar</t>
        </is>
      </c>
      <c r="F36" s="26" t="inlineStr">
        <is>
          <t>Abr</t>
        </is>
      </c>
      <c r="G36" s="26" t="inlineStr">
        <is>
          <t>May</t>
        </is>
      </c>
      <c r="H36" s="26" t="inlineStr">
        <is>
          <t>Jun</t>
        </is>
      </c>
      <c r="I36" s="26" t="inlineStr">
        <is>
          <t>Jul</t>
        </is>
      </c>
      <c r="J36" s="26" t="inlineStr">
        <is>
          <t>Ago</t>
        </is>
      </c>
      <c r="K36" s="26" t="inlineStr">
        <is>
          <t>Sep</t>
        </is>
      </c>
      <c r="L36" s="26" t="inlineStr">
        <is>
          <t>Oct</t>
        </is>
      </c>
      <c r="M36" s="26" t="inlineStr">
        <is>
          <t>Nov</t>
        </is>
      </c>
      <c r="N36" s="26" t="inlineStr">
        <is>
          <t>Dic</t>
        </is>
      </c>
      <c r="O36" s="27" t="inlineStr">
        <is>
          <t>Total 2028</t>
        </is>
      </c>
    </row>
    <row r="37"/>
    <row r="38">
      <c r="B38" s="9" t="inlineStr">
        <is>
          <t>Importe mensual por año (celdas de entrada)</t>
        </is>
      </c>
      <c r="C38" s="10" t="n"/>
      <c r="D38" s="10" t="n"/>
      <c r="E38" s="10" t="n"/>
      <c r="F38" s="10" t="n"/>
      <c r="G38" s="10" t="n"/>
      <c r="H38" s="10" t="n"/>
      <c r="I38" s="10" t="n"/>
      <c r="J38" s="10" t="n"/>
      <c r="K38" s="10" t="n"/>
      <c r="L38" s="10" t="n"/>
      <c r="M38" s="10" t="n"/>
      <c r="N38" s="10" t="n"/>
      <c r="O38" s="10" t="n"/>
    </row>
    <row r="39"/>
    <row r="40">
      <c r="A40" s="20" t="inlineStr">
        <is>
          <t>Infraestructura</t>
        </is>
      </c>
      <c r="B40" s="13" t="inlineStr">
        <is>
          <t>Infraestructura en la nube (base)</t>
        </is>
      </c>
    </row>
    <row r="41">
      <c r="A41" s="20" t="inlineStr">
        <is>
          <t>Infraestructura</t>
        </is>
      </c>
      <c r="B41" s="13" t="inlineStr">
        <is>
          <t>Herramientas y licencias de desarrollo</t>
        </is>
      </c>
    </row>
    <row r="42">
      <c r="A42" s="20" t="inlineStr">
        <is>
          <t>Infraestructura</t>
        </is>
      </c>
      <c r="B42" s="13" t="inlineStr">
        <is>
          <t>Herramientas de IA del equipo</t>
        </is>
      </c>
    </row>
    <row r="43">
      <c r="A43" s="20" t="inlineStr">
        <is>
          <t>Comercial</t>
        </is>
      </c>
      <c r="B43" s="13" t="inlineStr">
        <is>
          <t>Marketing y contenidos</t>
        </is>
      </c>
    </row>
    <row r="44">
      <c r="A44" s="20" t="inlineStr">
        <is>
          <t>Administración</t>
        </is>
      </c>
      <c r="B44" s="13" t="inlineStr">
        <is>
          <t>Estudio contable y legales</t>
        </is>
      </c>
    </row>
    <row r="45">
      <c r="A45" s="20" t="inlineStr">
        <is>
          <t>Operación</t>
        </is>
      </c>
      <c r="B45" s="13" t="inlineStr">
        <is>
          <t>Espacio de trabajo y telefonía</t>
        </is>
      </c>
    </row>
    <row r="46">
      <c r="A46" s="20" t="inlineStr">
        <is>
          <t>Operación</t>
        </is>
      </c>
      <c r="B46" s="13" t="inlineStr">
        <is>
          <t>Conectividad del equipo remoto</t>
        </is>
      </c>
    </row>
    <row r="47">
      <c r="A47" s="20" t="inlineStr">
        <is>
          <t>Operación</t>
        </is>
      </c>
      <c r="B47" s="13" t="inlineStr">
        <is>
          <t>Otros gastos operativos</t>
        </is>
      </c>
    </row>
    <row r="48">
      <c r="B48" s="20" t="inlineStr">
        <is>
          <t>Total mensual</t>
        </is>
      </c>
    </row>
    <row r="49">
      <c r="B49" s="13" t="inlineStr">
        <is>
          <t xml:space="preserve">    del cual se paga al exterior</t>
        </is>
      </c>
    </row>
    <row r="50"/>
    <row r="51">
      <c r="B51" s="9" t="inlineStr">
        <is>
          <t>Desarrollo mensual</t>
        </is>
      </c>
      <c r="C51" s="10" t="n"/>
      <c r="D51" s="10" t="n"/>
      <c r="E51" s="10" t="n"/>
      <c r="F51" s="10" t="n"/>
      <c r="G51" s="10" t="n"/>
      <c r="H51" s="10" t="n"/>
      <c r="I51" s="10" t="n"/>
      <c r="J51" s="10" t="n"/>
      <c r="K51" s="10" t="n"/>
      <c r="L51" s="10" t="n"/>
      <c r="M51" s="10" t="n"/>
      <c r="N51" s="10" t="n"/>
      <c r="O51" s="10" t="n"/>
    </row>
    <row r="52">
      <c r="A52" s="20" t="inlineStr">
        <is>
          <t>Infraestructura</t>
        </is>
      </c>
      <c r="B52" s="13" t="inlineStr">
        <is>
          <t>Infraestructura en la nube (base)</t>
        </is>
      </c>
      <c r="C52" s="28">
        <f>$D$12</f>
        <v/>
      </c>
      <c r="D52" s="28">
        <f>$D$12</f>
        <v/>
      </c>
      <c r="E52" s="28">
        <f>$D$12</f>
        <v/>
      </c>
      <c r="F52" s="28">
        <f>$D$12</f>
        <v/>
      </c>
      <c r="G52" s="28">
        <f>$D$12</f>
        <v/>
      </c>
      <c r="H52" s="28">
        <f>$D$12</f>
        <v/>
      </c>
      <c r="I52" s="28">
        <f>$D$12</f>
        <v/>
      </c>
      <c r="J52" s="28">
        <f>$D$12</f>
        <v/>
      </c>
      <c r="K52" s="28">
        <f>$D$12</f>
        <v/>
      </c>
      <c r="L52" s="28">
        <f>$D$12</f>
        <v/>
      </c>
      <c r="M52" s="28">
        <f>$D$12</f>
        <v/>
      </c>
      <c r="N52" s="28">
        <f>$D$12</f>
        <v/>
      </c>
      <c r="O52" s="29">
        <f>SUM(C52:N52)</f>
        <v/>
      </c>
    </row>
    <row r="53">
      <c r="A53" s="20" t="inlineStr">
        <is>
          <t>Infraestructura</t>
        </is>
      </c>
      <c r="B53" s="13" t="inlineStr">
        <is>
          <t>Herramientas y licencias de desarrollo</t>
        </is>
      </c>
      <c r="C53" s="28">
        <f>$D$13</f>
        <v/>
      </c>
      <c r="D53" s="28">
        <f>$D$13</f>
        <v/>
      </c>
      <c r="E53" s="28">
        <f>$D$13</f>
        <v/>
      </c>
      <c r="F53" s="28">
        <f>$D$13</f>
        <v/>
      </c>
      <c r="G53" s="28">
        <f>$D$13</f>
        <v/>
      </c>
      <c r="H53" s="28">
        <f>$D$13</f>
        <v/>
      </c>
      <c r="I53" s="28">
        <f>$D$13</f>
        <v/>
      </c>
      <c r="J53" s="28">
        <f>$D$13</f>
        <v/>
      </c>
      <c r="K53" s="28">
        <f>$D$13</f>
        <v/>
      </c>
      <c r="L53" s="28">
        <f>$D$13</f>
        <v/>
      </c>
      <c r="M53" s="28">
        <f>$D$13</f>
        <v/>
      </c>
      <c r="N53" s="28">
        <f>$D$13</f>
        <v/>
      </c>
      <c r="O53" s="29">
        <f>SUM(C53:N53)</f>
        <v/>
      </c>
    </row>
    <row r="54">
      <c r="A54" s="20" t="inlineStr">
        <is>
          <t>Infraestructura</t>
        </is>
      </c>
      <c r="B54" s="13" t="inlineStr">
        <is>
          <t>Herramientas de IA del equipo</t>
        </is>
      </c>
      <c r="C54" s="28">
        <f>$D$14</f>
        <v/>
      </c>
      <c r="D54" s="28">
        <f>$D$14</f>
        <v/>
      </c>
      <c r="E54" s="28">
        <f>$D$14</f>
        <v/>
      </c>
      <c r="F54" s="28">
        <f>$D$14</f>
        <v/>
      </c>
      <c r="G54" s="28">
        <f>$D$14</f>
        <v/>
      </c>
      <c r="H54" s="28">
        <f>$D$14</f>
        <v/>
      </c>
      <c r="I54" s="28">
        <f>$D$14</f>
        <v/>
      </c>
      <c r="J54" s="28">
        <f>$D$14</f>
        <v/>
      </c>
      <c r="K54" s="28">
        <f>$D$14</f>
        <v/>
      </c>
      <c r="L54" s="28">
        <f>$D$14</f>
        <v/>
      </c>
      <c r="M54" s="28">
        <f>$D$14</f>
        <v/>
      </c>
      <c r="N54" s="28">
        <f>$D$14</f>
        <v/>
      </c>
      <c r="O54" s="29">
        <f>SUM(C54:N54)</f>
        <v/>
      </c>
    </row>
    <row r="55">
      <c r="A55" s="20" t="inlineStr">
        <is>
          <t>Comercial</t>
        </is>
      </c>
      <c r="B55" s="13" t="inlineStr">
        <is>
          <t>Marketing y contenidos</t>
        </is>
      </c>
      <c r="C55" s="28">
        <f>$D$15</f>
        <v/>
      </c>
      <c r="D55" s="28">
        <f>$D$15</f>
        <v/>
      </c>
      <c r="E55" s="28">
        <f>$D$15</f>
        <v/>
      </c>
      <c r="F55" s="28">
        <f>$D$15</f>
        <v/>
      </c>
      <c r="G55" s="28">
        <f>$D$15</f>
        <v/>
      </c>
      <c r="H55" s="28">
        <f>$D$15</f>
        <v/>
      </c>
      <c r="I55" s="28">
        <f>$D$15</f>
        <v/>
      </c>
      <c r="J55" s="28">
        <f>$D$15</f>
        <v/>
      </c>
      <c r="K55" s="28">
        <f>$D$15</f>
        <v/>
      </c>
      <c r="L55" s="28">
        <f>$D$15</f>
        <v/>
      </c>
      <c r="M55" s="28">
        <f>$D$15</f>
        <v/>
      </c>
      <c r="N55" s="28">
        <f>$D$15</f>
        <v/>
      </c>
      <c r="O55" s="29">
        <f>SUM(C55:N55)</f>
        <v/>
      </c>
    </row>
    <row r="56">
      <c r="A56" s="20" t="inlineStr">
        <is>
          <t>Administración</t>
        </is>
      </c>
      <c r="B56" s="13" t="inlineStr">
        <is>
          <t>Estudio contable y legales</t>
        </is>
      </c>
      <c r="C56" s="28">
        <f>$D$16</f>
        <v/>
      </c>
      <c r="D56" s="28">
        <f>$D$16</f>
        <v/>
      </c>
      <c r="E56" s="28">
        <f>$D$16</f>
        <v/>
      </c>
      <c r="F56" s="28">
        <f>$D$16</f>
        <v/>
      </c>
      <c r="G56" s="28">
        <f>$D$16</f>
        <v/>
      </c>
      <c r="H56" s="28">
        <f>$D$16</f>
        <v/>
      </c>
      <c r="I56" s="28">
        <f>$D$16</f>
        <v/>
      </c>
      <c r="J56" s="28">
        <f>$D$16</f>
        <v/>
      </c>
      <c r="K56" s="28">
        <f>$D$16</f>
        <v/>
      </c>
      <c r="L56" s="28">
        <f>$D$16</f>
        <v/>
      </c>
      <c r="M56" s="28">
        <f>$D$16</f>
        <v/>
      </c>
      <c r="N56" s="28">
        <f>$D$16</f>
        <v/>
      </c>
      <c r="O56" s="29">
        <f>SUM(C56:N56)</f>
        <v/>
      </c>
    </row>
    <row r="57">
      <c r="A57" s="20" t="inlineStr">
        <is>
          <t>Operación</t>
        </is>
      </c>
      <c r="B57" s="13" t="inlineStr">
        <is>
          <t>Espacio de trabajo y telefonía</t>
        </is>
      </c>
      <c r="C57" s="28">
        <f>$D$17</f>
        <v/>
      </c>
      <c r="D57" s="28">
        <f>$D$17</f>
        <v/>
      </c>
      <c r="E57" s="28">
        <f>$D$17</f>
        <v/>
      </c>
      <c r="F57" s="28">
        <f>$D$17</f>
        <v/>
      </c>
      <c r="G57" s="28">
        <f>$D$17</f>
        <v/>
      </c>
      <c r="H57" s="28">
        <f>$D$17</f>
        <v/>
      </c>
      <c r="I57" s="28">
        <f>$D$17</f>
        <v/>
      </c>
      <c r="J57" s="28">
        <f>$D$17</f>
        <v/>
      </c>
      <c r="K57" s="28">
        <f>$D$17</f>
        <v/>
      </c>
      <c r="L57" s="28">
        <f>$D$17</f>
        <v/>
      </c>
      <c r="M57" s="28">
        <f>$D$17</f>
        <v/>
      </c>
      <c r="N57" s="28">
        <f>$D$17</f>
        <v/>
      </c>
      <c r="O57" s="29">
        <f>SUM(C57:N57)</f>
        <v/>
      </c>
    </row>
    <row r="58">
      <c r="A58" s="20" t="inlineStr">
        <is>
          <t>Operación</t>
        </is>
      </c>
      <c r="B58" s="13" t="inlineStr">
        <is>
          <t>Conectividad del equipo remoto</t>
        </is>
      </c>
      <c r="C58" s="28">
        <f>$D$18</f>
        <v/>
      </c>
      <c r="D58" s="28">
        <f>$D$18</f>
        <v/>
      </c>
      <c r="E58" s="28">
        <f>$D$18</f>
        <v/>
      </c>
      <c r="F58" s="28">
        <f>$D$18</f>
        <v/>
      </c>
      <c r="G58" s="28">
        <f>$D$18</f>
        <v/>
      </c>
      <c r="H58" s="28">
        <f>$D$18</f>
        <v/>
      </c>
      <c r="I58" s="28">
        <f>$D$18</f>
        <v/>
      </c>
      <c r="J58" s="28">
        <f>$D$18</f>
        <v/>
      </c>
      <c r="K58" s="28">
        <f>$D$18</f>
        <v/>
      </c>
      <c r="L58" s="28">
        <f>$D$18</f>
        <v/>
      </c>
      <c r="M58" s="28">
        <f>$D$18</f>
        <v/>
      </c>
      <c r="N58" s="28">
        <f>$D$18</f>
        <v/>
      </c>
      <c r="O58" s="29">
        <f>SUM(C58:N58)</f>
        <v/>
      </c>
    </row>
    <row r="59">
      <c r="A59" s="20" t="inlineStr">
        <is>
          <t>Operación</t>
        </is>
      </c>
      <c r="B59" s="13" t="inlineStr">
        <is>
          <t>Otros gastos operativos</t>
        </is>
      </c>
      <c r="C59" s="28">
        <f>$D$19</f>
        <v/>
      </c>
      <c r="D59" s="28">
        <f>$D$19</f>
        <v/>
      </c>
      <c r="E59" s="28">
        <f>$D$19</f>
        <v/>
      </c>
      <c r="F59" s="28">
        <f>$D$19</f>
        <v/>
      </c>
      <c r="G59" s="28">
        <f>$D$19</f>
        <v/>
      </c>
      <c r="H59" s="28">
        <f>$D$19</f>
        <v/>
      </c>
      <c r="I59" s="28">
        <f>$D$19</f>
        <v/>
      </c>
      <c r="J59" s="28">
        <f>$D$19</f>
        <v/>
      </c>
      <c r="K59" s="28">
        <f>$D$19</f>
        <v/>
      </c>
      <c r="L59" s="28">
        <f>$D$19</f>
        <v/>
      </c>
      <c r="M59" s="28">
        <f>$D$19</f>
        <v/>
      </c>
      <c r="N59" s="28">
        <f>$D$19</f>
        <v/>
      </c>
      <c r="O59" s="29">
        <f>SUM(C59:N59)</f>
        <v/>
      </c>
    </row>
    <row r="60">
      <c r="A60" s="20" t="inlineStr">
        <is>
          <t>COSTOS FIJOS</t>
        </is>
      </c>
      <c r="B60" s="20" t="inlineStr">
        <is>
          <t>Total de costos fijos</t>
        </is>
      </c>
      <c r="C60" s="18">
        <f>SUM(C52:C59)</f>
        <v/>
      </c>
      <c r="D60" s="18">
        <f>SUM(D52:D59)</f>
        <v/>
      </c>
      <c r="E60" s="18">
        <f>SUM(E52:E59)</f>
        <v/>
      </c>
      <c r="F60" s="18">
        <f>SUM(F52:F59)</f>
        <v/>
      </c>
      <c r="G60" s="18">
        <f>SUM(G52:G59)</f>
        <v/>
      </c>
      <c r="H60" s="18">
        <f>SUM(H52:H59)</f>
        <v/>
      </c>
      <c r="I60" s="18">
        <f>SUM(I52:I59)</f>
        <v/>
      </c>
      <c r="J60" s="18">
        <f>SUM(J52:J59)</f>
        <v/>
      </c>
      <c r="K60" s="18">
        <f>SUM(K52:K59)</f>
        <v/>
      </c>
      <c r="L60" s="18">
        <f>SUM(L52:L59)</f>
        <v/>
      </c>
      <c r="M60" s="18">
        <f>SUM(M52:M59)</f>
        <v/>
      </c>
      <c r="N60" s="18">
        <f>SUM(N52:N59)</f>
        <v/>
      </c>
      <c r="O60" s="29">
        <f>SUM(C60:N60)</f>
        <v/>
      </c>
    </row>
    <row r="61"/>
    <row r="62"/>
    <row r="63">
      <c r="C63" s="5" t="n">
        <v>2029</v>
      </c>
    </row>
    <row r="64">
      <c r="C64" s="26" t="inlineStr">
        <is>
          <t>Ene</t>
        </is>
      </c>
      <c r="D64" s="26" t="inlineStr">
        <is>
          <t>Feb</t>
        </is>
      </c>
      <c r="E64" s="26" t="inlineStr">
        <is>
          <t>Mar</t>
        </is>
      </c>
      <c r="F64" s="26" t="inlineStr">
        <is>
          <t>Abr</t>
        </is>
      </c>
      <c r="G64" s="26" t="inlineStr">
        <is>
          <t>May</t>
        </is>
      </c>
      <c r="H64" s="26" t="inlineStr">
        <is>
          <t>Jun</t>
        </is>
      </c>
      <c r="I64" s="26" t="inlineStr">
        <is>
          <t>Jul</t>
        </is>
      </c>
      <c r="J64" s="26" t="inlineStr">
        <is>
          <t>Ago</t>
        </is>
      </c>
      <c r="K64" s="26" t="inlineStr">
        <is>
          <t>Sep</t>
        </is>
      </c>
      <c r="L64" s="26" t="inlineStr">
        <is>
          <t>Oct</t>
        </is>
      </c>
      <c r="M64" s="26" t="inlineStr">
        <is>
          <t>Nov</t>
        </is>
      </c>
      <c r="N64" s="26" t="inlineStr">
        <is>
          <t>Dic</t>
        </is>
      </c>
      <c r="O64" s="27" t="inlineStr">
        <is>
          <t>Total 2029</t>
        </is>
      </c>
    </row>
    <row r="65"/>
    <row r="66">
      <c r="B66" s="9" t="inlineStr">
        <is>
          <t>Importe mensual por año (celdas de entrada)</t>
        </is>
      </c>
      <c r="C66" s="10" t="n"/>
      <c r="D66" s="10" t="n"/>
      <c r="E66" s="10" t="n"/>
      <c r="F66" s="10" t="n"/>
      <c r="G66" s="10" t="n"/>
      <c r="H66" s="10" t="n"/>
      <c r="I66" s="10" t="n"/>
      <c r="J66" s="10" t="n"/>
      <c r="K66" s="10" t="n"/>
      <c r="L66" s="10" t="n"/>
      <c r="M66" s="10" t="n"/>
      <c r="N66" s="10" t="n"/>
      <c r="O66" s="10" t="n"/>
    </row>
    <row r="67"/>
    <row r="68">
      <c r="A68" s="20" t="inlineStr">
        <is>
          <t>Infraestructura</t>
        </is>
      </c>
      <c r="B68" s="13" t="inlineStr">
        <is>
          <t>Infraestructura en la nube (base)</t>
        </is>
      </c>
    </row>
    <row r="69">
      <c r="A69" s="20" t="inlineStr">
        <is>
          <t>Infraestructura</t>
        </is>
      </c>
      <c r="B69" s="13" t="inlineStr">
        <is>
          <t>Herramientas y licencias de desarrollo</t>
        </is>
      </c>
    </row>
    <row r="70">
      <c r="A70" s="20" t="inlineStr">
        <is>
          <t>Infraestructura</t>
        </is>
      </c>
      <c r="B70" s="13" t="inlineStr">
        <is>
          <t>Herramientas de IA del equipo</t>
        </is>
      </c>
    </row>
    <row r="71">
      <c r="A71" s="20" t="inlineStr">
        <is>
          <t>Comercial</t>
        </is>
      </c>
      <c r="B71" s="13" t="inlineStr">
        <is>
          <t>Marketing y contenidos</t>
        </is>
      </c>
    </row>
    <row r="72">
      <c r="A72" s="20" t="inlineStr">
        <is>
          <t>Administración</t>
        </is>
      </c>
      <c r="B72" s="13" t="inlineStr">
        <is>
          <t>Estudio contable y legales</t>
        </is>
      </c>
    </row>
    <row r="73">
      <c r="A73" s="20" t="inlineStr">
        <is>
          <t>Operación</t>
        </is>
      </c>
      <c r="B73" s="13" t="inlineStr">
        <is>
          <t>Espacio de trabajo y telefonía</t>
        </is>
      </c>
    </row>
    <row r="74">
      <c r="A74" s="20" t="inlineStr">
        <is>
          <t>Operación</t>
        </is>
      </c>
      <c r="B74" s="13" t="inlineStr">
        <is>
          <t>Conectividad del equipo remoto</t>
        </is>
      </c>
    </row>
    <row r="75">
      <c r="A75" s="20" t="inlineStr">
        <is>
          <t>Operación</t>
        </is>
      </c>
      <c r="B75" s="13" t="inlineStr">
        <is>
          <t>Otros gastos operativos</t>
        </is>
      </c>
    </row>
    <row r="76">
      <c r="B76" s="20" t="inlineStr">
        <is>
          <t>Total mensual</t>
        </is>
      </c>
    </row>
    <row r="77">
      <c r="B77" s="13" t="inlineStr">
        <is>
          <t xml:space="preserve">    del cual se paga al exterior</t>
        </is>
      </c>
    </row>
    <row r="78"/>
    <row r="79">
      <c r="B79" s="9" t="inlineStr">
        <is>
          <t>Desarrollo mensual</t>
        </is>
      </c>
      <c r="C79" s="10" t="n"/>
      <c r="D79" s="10" t="n"/>
      <c r="E79" s="10" t="n"/>
      <c r="F79" s="10" t="n"/>
      <c r="G79" s="10" t="n"/>
      <c r="H79" s="10" t="n"/>
      <c r="I79" s="10" t="n"/>
      <c r="J79" s="10" t="n"/>
      <c r="K79" s="10" t="n"/>
      <c r="L79" s="10" t="n"/>
      <c r="M79" s="10" t="n"/>
      <c r="N79" s="10" t="n"/>
      <c r="O79" s="10" t="n"/>
    </row>
    <row r="80">
      <c r="A80" s="20" t="inlineStr">
        <is>
          <t>Infraestructura</t>
        </is>
      </c>
      <c r="B80" s="13" t="inlineStr">
        <is>
          <t>Infraestructura en la nube (base)</t>
        </is>
      </c>
      <c r="C80" s="28">
        <f>$E$12</f>
        <v/>
      </c>
      <c r="D80" s="28">
        <f>$E$12</f>
        <v/>
      </c>
      <c r="E80" s="28">
        <f>$E$12</f>
        <v/>
      </c>
      <c r="F80" s="28">
        <f>$E$12</f>
        <v/>
      </c>
      <c r="G80" s="28">
        <f>$E$12</f>
        <v/>
      </c>
      <c r="H80" s="28">
        <f>$E$12</f>
        <v/>
      </c>
      <c r="I80" s="28">
        <f>$E$12</f>
        <v/>
      </c>
      <c r="J80" s="28">
        <f>$E$12</f>
        <v/>
      </c>
      <c r="K80" s="28">
        <f>$E$12</f>
        <v/>
      </c>
      <c r="L80" s="28">
        <f>$E$12</f>
        <v/>
      </c>
      <c r="M80" s="28">
        <f>$E$12</f>
        <v/>
      </c>
      <c r="N80" s="28">
        <f>$E$12</f>
        <v/>
      </c>
      <c r="O80" s="29">
        <f>SUM(C80:N80)</f>
        <v/>
      </c>
    </row>
    <row r="81">
      <c r="A81" s="20" t="inlineStr">
        <is>
          <t>Infraestructura</t>
        </is>
      </c>
      <c r="B81" s="13" t="inlineStr">
        <is>
          <t>Herramientas y licencias de desarrollo</t>
        </is>
      </c>
      <c r="C81" s="28">
        <f>$E$13</f>
        <v/>
      </c>
      <c r="D81" s="28">
        <f>$E$13</f>
        <v/>
      </c>
      <c r="E81" s="28">
        <f>$E$13</f>
        <v/>
      </c>
      <c r="F81" s="28">
        <f>$E$13</f>
        <v/>
      </c>
      <c r="G81" s="28">
        <f>$E$13</f>
        <v/>
      </c>
      <c r="H81" s="28">
        <f>$E$13</f>
        <v/>
      </c>
      <c r="I81" s="28">
        <f>$E$13</f>
        <v/>
      </c>
      <c r="J81" s="28">
        <f>$E$13</f>
        <v/>
      </c>
      <c r="K81" s="28">
        <f>$E$13</f>
        <v/>
      </c>
      <c r="L81" s="28">
        <f>$E$13</f>
        <v/>
      </c>
      <c r="M81" s="28">
        <f>$E$13</f>
        <v/>
      </c>
      <c r="N81" s="28">
        <f>$E$13</f>
        <v/>
      </c>
      <c r="O81" s="29">
        <f>SUM(C81:N81)</f>
        <v/>
      </c>
    </row>
    <row r="82">
      <c r="A82" s="20" t="inlineStr">
        <is>
          <t>Infraestructura</t>
        </is>
      </c>
      <c r="B82" s="13" t="inlineStr">
        <is>
          <t>Herramientas de IA del equipo</t>
        </is>
      </c>
      <c r="C82" s="28">
        <f>$E$14</f>
        <v/>
      </c>
      <c r="D82" s="28">
        <f>$E$14</f>
        <v/>
      </c>
      <c r="E82" s="28">
        <f>$E$14</f>
        <v/>
      </c>
      <c r="F82" s="28">
        <f>$E$14</f>
        <v/>
      </c>
      <c r="G82" s="28">
        <f>$E$14</f>
        <v/>
      </c>
      <c r="H82" s="28">
        <f>$E$14</f>
        <v/>
      </c>
      <c r="I82" s="28">
        <f>$E$14</f>
        <v/>
      </c>
      <c r="J82" s="28">
        <f>$E$14</f>
        <v/>
      </c>
      <c r="K82" s="28">
        <f>$E$14</f>
        <v/>
      </c>
      <c r="L82" s="28">
        <f>$E$14</f>
        <v/>
      </c>
      <c r="M82" s="28">
        <f>$E$14</f>
        <v/>
      </c>
      <c r="N82" s="28">
        <f>$E$14</f>
        <v/>
      </c>
      <c r="O82" s="29">
        <f>SUM(C82:N82)</f>
        <v/>
      </c>
    </row>
    <row r="83">
      <c r="A83" s="20" t="inlineStr">
        <is>
          <t>Comercial</t>
        </is>
      </c>
      <c r="B83" s="13" t="inlineStr">
        <is>
          <t>Marketing y contenidos</t>
        </is>
      </c>
      <c r="C83" s="28">
        <f>$E$15</f>
        <v/>
      </c>
      <c r="D83" s="28">
        <f>$E$15</f>
        <v/>
      </c>
      <c r="E83" s="28">
        <f>$E$15</f>
        <v/>
      </c>
      <c r="F83" s="28">
        <f>$E$15</f>
        <v/>
      </c>
      <c r="G83" s="28">
        <f>$E$15</f>
        <v/>
      </c>
      <c r="H83" s="28">
        <f>$E$15</f>
        <v/>
      </c>
      <c r="I83" s="28">
        <f>$E$15</f>
        <v/>
      </c>
      <c r="J83" s="28">
        <f>$E$15</f>
        <v/>
      </c>
      <c r="K83" s="28">
        <f>$E$15</f>
        <v/>
      </c>
      <c r="L83" s="28">
        <f>$E$15</f>
        <v/>
      </c>
      <c r="M83" s="28">
        <f>$E$15</f>
        <v/>
      </c>
      <c r="N83" s="28">
        <f>$E$15</f>
        <v/>
      </c>
      <c r="O83" s="29">
        <f>SUM(C83:N83)</f>
        <v/>
      </c>
    </row>
    <row r="84">
      <c r="A84" s="20" t="inlineStr">
        <is>
          <t>Administración</t>
        </is>
      </c>
      <c r="B84" s="13" t="inlineStr">
        <is>
          <t>Estudio contable y legales</t>
        </is>
      </c>
      <c r="C84" s="28">
        <f>$E$16</f>
        <v/>
      </c>
      <c r="D84" s="28">
        <f>$E$16</f>
        <v/>
      </c>
      <c r="E84" s="28">
        <f>$E$16</f>
        <v/>
      </c>
      <c r="F84" s="28">
        <f>$E$16</f>
        <v/>
      </c>
      <c r="G84" s="28">
        <f>$E$16</f>
        <v/>
      </c>
      <c r="H84" s="28">
        <f>$E$16</f>
        <v/>
      </c>
      <c r="I84" s="28">
        <f>$E$16</f>
        <v/>
      </c>
      <c r="J84" s="28">
        <f>$E$16</f>
        <v/>
      </c>
      <c r="K84" s="28">
        <f>$E$16</f>
        <v/>
      </c>
      <c r="L84" s="28">
        <f>$E$16</f>
        <v/>
      </c>
      <c r="M84" s="28">
        <f>$E$16</f>
        <v/>
      </c>
      <c r="N84" s="28">
        <f>$E$16</f>
        <v/>
      </c>
      <c r="O84" s="29">
        <f>SUM(C84:N84)</f>
        <v/>
      </c>
    </row>
    <row r="85">
      <c r="A85" s="20" t="inlineStr">
        <is>
          <t>Operación</t>
        </is>
      </c>
      <c r="B85" s="13" t="inlineStr">
        <is>
          <t>Espacio de trabajo y telefonía</t>
        </is>
      </c>
      <c r="C85" s="28">
        <f>$E$17</f>
        <v/>
      </c>
      <c r="D85" s="28">
        <f>$E$17</f>
        <v/>
      </c>
      <c r="E85" s="28">
        <f>$E$17</f>
        <v/>
      </c>
      <c r="F85" s="28">
        <f>$E$17</f>
        <v/>
      </c>
      <c r="G85" s="28">
        <f>$E$17</f>
        <v/>
      </c>
      <c r="H85" s="28">
        <f>$E$17</f>
        <v/>
      </c>
      <c r="I85" s="28">
        <f>$E$17</f>
        <v/>
      </c>
      <c r="J85" s="28">
        <f>$E$17</f>
        <v/>
      </c>
      <c r="K85" s="28">
        <f>$E$17</f>
        <v/>
      </c>
      <c r="L85" s="28">
        <f>$E$17</f>
        <v/>
      </c>
      <c r="M85" s="28">
        <f>$E$17</f>
        <v/>
      </c>
      <c r="N85" s="28">
        <f>$E$17</f>
        <v/>
      </c>
      <c r="O85" s="29">
        <f>SUM(C85:N85)</f>
        <v/>
      </c>
    </row>
    <row r="86">
      <c r="A86" s="20" t="inlineStr">
        <is>
          <t>Operación</t>
        </is>
      </c>
      <c r="B86" s="13" t="inlineStr">
        <is>
          <t>Conectividad del equipo remoto</t>
        </is>
      </c>
      <c r="C86" s="28">
        <f>$E$18</f>
        <v/>
      </c>
      <c r="D86" s="28">
        <f>$E$18</f>
        <v/>
      </c>
      <c r="E86" s="28">
        <f>$E$18</f>
        <v/>
      </c>
      <c r="F86" s="28">
        <f>$E$18</f>
        <v/>
      </c>
      <c r="G86" s="28">
        <f>$E$18</f>
        <v/>
      </c>
      <c r="H86" s="28">
        <f>$E$18</f>
        <v/>
      </c>
      <c r="I86" s="28">
        <f>$E$18</f>
        <v/>
      </c>
      <c r="J86" s="28">
        <f>$E$18</f>
        <v/>
      </c>
      <c r="K86" s="28">
        <f>$E$18</f>
        <v/>
      </c>
      <c r="L86" s="28">
        <f>$E$18</f>
        <v/>
      </c>
      <c r="M86" s="28">
        <f>$E$18</f>
        <v/>
      </c>
      <c r="N86" s="28">
        <f>$E$18</f>
        <v/>
      </c>
      <c r="O86" s="29">
        <f>SUM(C86:N86)</f>
        <v/>
      </c>
    </row>
    <row r="87">
      <c r="A87" s="20" t="inlineStr">
        <is>
          <t>Operación</t>
        </is>
      </c>
      <c r="B87" s="13" t="inlineStr">
        <is>
          <t>Otros gastos operativos</t>
        </is>
      </c>
      <c r="C87" s="28">
        <f>$E$19</f>
        <v/>
      </c>
      <c r="D87" s="28">
        <f>$E$19</f>
        <v/>
      </c>
      <c r="E87" s="28">
        <f>$E$19</f>
        <v/>
      </c>
      <c r="F87" s="28">
        <f>$E$19</f>
        <v/>
      </c>
      <c r="G87" s="28">
        <f>$E$19</f>
        <v/>
      </c>
      <c r="H87" s="28">
        <f>$E$19</f>
        <v/>
      </c>
      <c r="I87" s="28">
        <f>$E$19</f>
        <v/>
      </c>
      <c r="J87" s="28">
        <f>$E$19</f>
        <v/>
      </c>
      <c r="K87" s="28">
        <f>$E$19</f>
        <v/>
      </c>
      <c r="L87" s="28">
        <f>$E$19</f>
        <v/>
      </c>
      <c r="M87" s="28">
        <f>$E$19</f>
        <v/>
      </c>
      <c r="N87" s="28">
        <f>$E$19</f>
        <v/>
      </c>
      <c r="O87" s="29">
        <f>SUM(C87:N87)</f>
        <v/>
      </c>
    </row>
    <row r="88">
      <c r="A88" s="20" t="inlineStr">
        <is>
          <t>COSTOS FIJOS</t>
        </is>
      </c>
      <c r="B88" s="20" t="inlineStr">
        <is>
          <t>Total de costos fijos</t>
        </is>
      </c>
      <c r="C88" s="18">
        <f>SUM(C80:C87)</f>
        <v/>
      </c>
      <c r="D88" s="18">
        <f>SUM(D80:D87)</f>
        <v/>
      </c>
      <c r="E88" s="18">
        <f>SUM(E80:E87)</f>
        <v/>
      </c>
      <c r="F88" s="18">
        <f>SUM(F80:F87)</f>
        <v/>
      </c>
      <c r="G88" s="18">
        <f>SUM(G80:G87)</f>
        <v/>
      </c>
      <c r="H88" s="18">
        <f>SUM(H80:H87)</f>
        <v/>
      </c>
      <c r="I88" s="18">
        <f>SUM(I80:I87)</f>
        <v/>
      </c>
      <c r="J88" s="18">
        <f>SUM(J80:J87)</f>
        <v/>
      </c>
      <c r="K88" s="18">
        <f>SUM(K80:K87)</f>
        <v/>
      </c>
      <c r="L88" s="18">
        <f>SUM(L80:L87)</f>
        <v/>
      </c>
      <c r="M88" s="18">
        <f>SUM(M80:M87)</f>
        <v/>
      </c>
      <c r="N88" s="18">
        <f>SUM(N80:N87)</f>
        <v/>
      </c>
      <c r="O88" s="29">
        <f>SUM(C88:N88)</f>
        <v/>
      </c>
    </row>
    <row r="89"/>
    <row r="90"/>
    <row r="91">
      <c r="C91" s="5" t="n">
        <v>2030</v>
      </c>
    </row>
    <row r="92">
      <c r="C92" s="26" t="inlineStr">
        <is>
          <t>Ene</t>
        </is>
      </c>
      <c r="D92" s="26" t="inlineStr">
        <is>
          <t>Feb</t>
        </is>
      </c>
      <c r="E92" s="26" t="inlineStr">
        <is>
          <t>Mar</t>
        </is>
      </c>
      <c r="F92" s="26" t="inlineStr">
        <is>
          <t>Abr</t>
        </is>
      </c>
      <c r="G92" s="26" t="inlineStr">
        <is>
          <t>May</t>
        </is>
      </c>
      <c r="H92" s="26" t="inlineStr">
        <is>
          <t>Jun</t>
        </is>
      </c>
      <c r="I92" s="26" t="inlineStr">
        <is>
          <t>Jul</t>
        </is>
      </c>
      <c r="J92" s="26" t="inlineStr">
        <is>
          <t>Ago</t>
        </is>
      </c>
      <c r="K92" s="26" t="inlineStr">
        <is>
          <t>Sep</t>
        </is>
      </c>
      <c r="L92" s="26" t="inlineStr">
        <is>
          <t>Oct</t>
        </is>
      </c>
      <c r="M92" s="26" t="inlineStr">
        <is>
          <t>Nov</t>
        </is>
      </c>
      <c r="N92" s="26" t="inlineStr">
        <is>
          <t>Dic</t>
        </is>
      </c>
      <c r="O92" s="27" t="inlineStr">
        <is>
          <t>Total 2030</t>
        </is>
      </c>
    </row>
    <row r="93"/>
    <row r="94">
      <c r="B94" s="9" t="inlineStr">
        <is>
          <t>Importe mensual por año (celdas de entrada)</t>
        </is>
      </c>
      <c r="C94" s="10" t="n"/>
      <c r="D94" s="10" t="n"/>
      <c r="E94" s="10" t="n"/>
      <c r="F94" s="10" t="n"/>
      <c r="G94" s="10" t="n"/>
      <c r="H94" s="10" t="n"/>
      <c r="I94" s="10" t="n"/>
      <c r="J94" s="10" t="n"/>
      <c r="K94" s="10" t="n"/>
      <c r="L94" s="10" t="n"/>
      <c r="M94" s="10" t="n"/>
      <c r="N94" s="10" t="n"/>
      <c r="O94" s="10" t="n"/>
    </row>
    <row r="95"/>
    <row r="96">
      <c r="A96" s="20" t="inlineStr">
        <is>
          <t>Infraestructura</t>
        </is>
      </c>
      <c r="B96" s="13" t="inlineStr">
        <is>
          <t>Infraestructura en la nube (base)</t>
        </is>
      </c>
    </row>
    <row r="97">
      <c r="A97" s="20" t="inlineStr">
        <is>
          <t>Infraestructura</t>
        </is>
      </c>
      <c r="B97" s="13" t="inlineStr">
        <is>
          <t>Herramientas y licencias de desarrollo</t>
        </is>
      </c>
    </row>
    <row r="98">
      <c r="A98" s="20" t="inlineStr">
        <is>
          <t>Infraestructura</t>
        </is>
      </c>
      <c r="B98" s="13" t="inlineStr">
        <is>
          <t>Herramientas de IA del equipo</t>
        </is>
      </c>
    </row>
    <row r="99">
      <c r="A99" s="20" t="inlineStr">
        <is>
          <t>Comercial</t>
        </is>
      </c>
      <c r="B99" s="13" t="inlineStr">
        <is>
          <t>Marketing y contenidos</t>
        </is>
      </c>
    </row>
    <row r="100">
      <c r="A100" s="20" t="inlineStr">
        <is>
          <t>Administración</t>
        </is>
      </c>
      <c r="B100" s="13" t="inlineStr">
        <is>
          <t>Estudio contable y legales</t>
        </is>
      </c>
    </row>
    <row r="101">
      <c r="A101" s="20" t="inlineStr">
        <is>
          <t>Operación</t>
        </is>
      </c>
      <c r="B101" s="13" t="inlineStr">
        <is>
          <t>Espacio de trabajo y telefonía</t>
        </is>
      </c>
    </row>
    <row r="102">
      <c r="A102" s="20" t="inlineStr">
        <is>
          <t>Operación</t>
        </is>
      </c>
      <c r="B102" s="13" t="inlineStr">
        <is>
          <t>Conectividad del equipo remoto</t>
        </is>
      </c>
    </row>
    <row r="103">
      <c r="A103" s="20" t="inlineStr">
        <is>
          <t>Operación</t>
        </is>
      </c>
      <c r="B103" s="13" t="inlineStr">
        <is>
          <t>Otros gastos operativos</t>
        </is>
      </c>
    </row>
    <row r="104">
      <c r="B104" s="20" t="inlineStr">
        <is>
          <t>Total mensual</t>
        </is>
      </c>
    </row>
    <row r="105">
      <c r="B105" s="13" t="inlineStr">
        <is>
          <t xml:space="preserve">    del cual se paga al exterior</t>
        </is>
      </c>
    </row>
    <row r="106"/>
    <row r="107">
      <c r="B107" s="9" t="inlineStr">
        <is>
          <t>Desarrollo mensual</t>
        </is>
      </c>
      <c r="C107" s="10" t="n"/>
      <c r="D107" s="10" t="n"/>
      <c r="E107" s="10" t="n"/>
      <c r="F107" s="10" t="n"/>
      <c r="G107" s="10" t="n"/>
      <c r="H107" s="10" t="n"/>
      <c r="I107" s="10" t="n"/>
      <c r="J107" s="10" t="n"/>
      <c r="K107" s="10" t="n"/>
      <c r="L107" s="10" t="n"/>
      <c r="M107" s="10" t="n"/>
      <c r="N107" s="10" t="n"/>
      <c r="O107" s="10" t="n"/>
    </row>
    <row r="108">
      <c r="A108" s="20" t="inlineStr">
        <is>
          <t>Infraestructura</t>
        </is>
      </c>
      <c r="B108" s="13" t="inlineStr">
        <is>
          <t>Infraestructura en la nube (base)</t>
        </is>
      </c>
      <c r="C108" s="28">
        <f>$F$12</f>
        <v/>
      </c>
      <c r="D108" s="28">
        <f>$F$12</f>
        <v/>
      </c>
      <c r="E108" s="28">
        <f>$F$12</f>
        <v/>
      </c>
      <c r="F108" s="28">
        <f>$F$12</f>
        <v/>
      </c>
      <c r="G108" s="28">
        <f>$F$12</f>
        <v/>
      </c>
      <c r="H108" s="28">
        <f>$F$12</f>
        <v/>
      </c>
      <c r="I108" s="28">
        <f>$F$12</f>
        <v/>
      </c>
      <c r="J108" s="28">
        <f>$F$12</f>
        <v/>
      </c>
      <c r="K108" s="28">
        <f>$F$12</f>
        <v/>
      </c>
      <c r="L108" s="28">
        <f>$F$12</f>
        <v/>
      </c>
      <c r="M108" s="28">
        <f>$F$12</f>
        <v/>
      </c>
      <c r="N108" s="28">
        <f>$F$12</f>
        <v/>
      </c>
      <c r="O108" s="29">
        <f>SUM(C108:N108)</f>
        <v/>
      </c>
    </row>
    <row r="109">
      <c r="A109" s="20" t="inlineStr">
        <is>
          <t>Infraestructura</t>
        </is>
      </c>
      <c r="B109" s="13" t="inlineStr">
        <is>
          <t>Herramientas y licencias de desarrollo</t>
        </is>
      </c>
      <c r="C109" s="28">
        <f>$F$13</f>
        <v/>
      </c>
      <c r="D109" s="28">
        <f>$F$13</f>
        <v/>
      </c>
      <c r="E109" s="28">
        <f>$F$13</f>
        <v/>
      </c>
      <c r="F109" s="28">
        <f>$F$13</f>
        <v/>
      </c>
      <c r="G109" s="28">
        <f>$F$13</f>
        <v/>
      </c>
      <c r="H109" s="28">
        <f>$F$13</f>
        <v/>
      </c>
      <c r="I109" s="28">
        <f>$F$13</f>
        <v/>
      </c>
      <c r="J109" s="28">
        <f>$F$13</f>
        <v/>
      </c>
      <c r="K109" s="28">
        <f>$F$13</f>
        <v/>
      </c>
      <c r="L109" s="28">
        <f>$F$13</f>
        <v/>
      </c>
      <c r="M109" s="28">
        <f>$F$13</f>
        <v/>
      </c>
      <c r="N109" s="28">
        <f>$F$13</f>
        <v/>
      </c>
      <c r="O109" s="29">
        <f>SUM(C109:N109)</f>
        <v/>
      </c>
    </row>
    <row r="110">
      <c r="A110" s="20" t="inlineStr">
        <is>
          <t>Infraestructura</t>
        </is>
      </c>
      <c r="B110" s="13" t="inlineStr">
        <is>
          <t>Herramientas de IA del equipo</t>
        </is>
      </c>
      <c r="C110" s="28">
        <f>$F$14</f>
        <v/>
      </c>
      <c r="D110" s="28">
        <f>$F$14</f>
        <v/>
      </c>
      <c r="E110" s="28">
        <f>$F$14</f>
        <v/>
      </c>
      <c r="F110" s="28">
        <f>$F$14</f>
        <v/>
      </c>
      <c r="G110" s="28">
        <f>$F$14</f>
        <v/>
      </c>
      <c r="H110" s="28">
        <f>$F$14</f>
        <v/>
      </c>
      <c r="I110" s="28">
        <f>$F$14</f>
        <v/>
      </c>
      <c r="J110" s="28">
        <f>$F$14</f>
        <v/>
      </c>
      <c r="K110" s="28">
        <f>$F$14</f>
        <v/>
      </c>
      <c r="L110" s="28">
        <f>$F$14</f>
        <v/>
      </c>
      <c r="M110" s="28">
        <f>$F$14</f>
        <v/>
      </c>
      <c r="N110" s="28">
        <f>$F$14</f>
        <v/>
      </c>
      <c r="O110" s="29">
        <f>SUM(C110:N110)</f>
        <v/>
      </c>
    </row>
    <row r="111">
      <c r="A111" s="20" t="inlineStr">
        <is>
          <t>Comercial</t>
        </is>
      </c>
      <c r="B111" s="13" t="inlineStr">
        <is>
          <t>Marketing y contenidos</t>
        </is>
      </c>
      <c r="C111" s="28">
        <f>$F$15</f>
        <v/>
      </c>
      <c r="D111" s="28">
        <f>$F$15</f>
        <v/>
      </c>
      <c r="E111" s="28">
        <f>$F$15</f>
        <v/>
      </c>
      <c r="F111" s="28">
        <f>$F$15</f>
        <v/>
      </c>
      <c r="G111" s="28">
        <f>$F$15</f>
        <v/>
      </c>
      <c r="H111" s="28">
        <f>$F$15</f>
        <v/>
      </c>
      <c r="I111" s="28">
        <f>$F$15</f>
        <v/>
      </c>
      <c r="J111" s="28">
        <f>$F$15</f>
        <v/>
      </c>
      <c r="K111" s="28">
        <f>$F$15</f>
        <v/>
      </c>
      <c r="L111" s="28">
        <f>$F$15</f>
        <v/>
      </c>
      <c r="M111" s="28">
        <f>$F$15</f>
        <v/>
      </c>
      <c r="N111" s="28">
        <f>$F$15</f>
        <v/>
      </c>
      <c r="O111" s="29">
        <f>SUM(C111:N111)</f>
        <v/>
      </c>
    </row>
    <row r="112">
      <c r="A112" s="20" t="inlineStr">
        <is>
          <t>Administración</t>
        </is>
      </c>
      <c r="B112" s="13" t="inlineStr">
        <is>
          <t>Estudio contable y legales</t>
        </is>
      </c>
      <c r="C112" s="28">
        <f>$F$16</f>
        <v/>
      </c>
      <c r="D112" s="28">
        <f>$F$16</f>
        <v/>
      </c>
      <c r="E112" s="28">
        <f>$F$16</f>
        <v/>
      </c>
      <c r="F112" s="28">
        <f>$F$16</f>
        <v/>
      </c>
      <c r="G112" s="28">
        <f>$F$16</f>
        <v/>
      </c>
      <c r="H112" s="28">
        <f>$F$16</f>
        <v/>
      </c>
      <c r="I112" s="28">
        <f>$F$16</f>
        <v/>
      </c>
      <c r="J112" s="28">
        <f>$F$16</f>
        <v/>
      </c>
      <c r="K112" s="28">
        <f>$F$16</f>
        <v/>
      </c>
      <c r="L112" s="28">
        <f>$F$16</f>
        <v/>
      </c>
      <c r="M112" s="28">
        <f>$F$16</f>
        <v/>
      </c>
      <c r="N112" s="28">
        <f>$F$16</f>
        <v/>
      </c>
      <c r="O112" s="29">
        <f>SUM(C112:N112)</f>
        <v/>
      </c>
    </row>
    <row r="113">
      <c r="A113" s="20" t="inlineStr">
        <is>
          <t>Operación</t>
        </is>
      </c>
      <c r="B113" s="13" t="inlineStr">
        <is>
          <t>Espacio de trabajo y telefonía</t>
        </is>
      </c>
      <c r="C113" s="28">
        <f>$F$17</f>
        <v/>
      </c>
      <c r="D113" s="28">
        <f>$F$17</f>
        <v/>
      </c>
      <c r="E113" s="28">
        <f>$F$17</f>
        <v/>
      </c>
      <c r="F113" s="28">
        <f>$F$17</f>
        <v/>
      </c>
      <c r="G113" s="28">
        <f>$F$17</f>
        <v/>
      </c>
      <c r="H113" s="28">
        <f>$F$17</f>
        <v/>
      </c>
      <c r="I113" s="28">
        <f>$F$17</f>
        <v/>
      </c>
      <c r="J113" s="28">
        <f>$F$17</f>
        <v/>
      </c>
      <c r="K113" s="28">
        <f>$F$17</f>
        <v/>
      </c>
      <c r="L113" s="28">
        <f>$F$17</f>
        <v/>
      </c>
      <c r="M113" s="28">
        <f>$F$17</f>
        <v/>
      </c>
      <c r="N113" s="28">
        <f>$F$17</f>
        <v/>
      </c>
      <c r="O113" s="29">
        <f>SUM(C113:N113)</f>
        <v/>
      </c>
    </row>
    <row r="114">
      <c r="A114" s="20" t="inlineStr">
        <is>
          <t>Operación</t>
        </is>
      </c>
      <c r="B114" s="13" t="inlineStr">
        <is>
          <t>Conectividad del equipo remoto</t>
        </is>
      </c>
      <c r="C114" s="28">
        <f>$F$18</f>
        <v/>
      </c>
      <c r="D114" s="28">
        <f>$F$18</f>
        <v/>
      </c>
      <c r="E114" s="28">
        <f>$F$18</f>
        <v/>
      </c>
      <c r="F114" s="28">
        <f>$F$18</f>
        <v/>
      </c>
      <c r="G114" s="28">
        <f>$F$18</f>
        <v/>
      </c>
      <c r="H114" s="28">
        <f>$F$18</f>
        <v/>
      </c>
      <c r="I114" s="28">
        <f>$F$18</f>
        <v/>
      </c>
      <c r="J114" s="28">
        <f>$F$18</f>
        <v/>
      </c>
      <c r="K114" s="28">
        <f>$F$18</f>
        <v/>
      </c>
      <c r="L114" s="28">
        <f>$F$18</f>
        <v/>
      </c>
      <c r="M114" s="28">
        <f>$F$18</f>
        <v/>
      </c>
      <c r="N114" s="28">
        <f>$F$18</f>
        <v/>
      </c>
      <c r="O114" s="29">
        <f>SUM(C114:N114)</f>
        <v/>
      </c>
    </row>
    <row r="115">
      <c r="A115" s="20" t="inlineStr">
        <is>
          <t>Operación</t>
        </is>
      </c>
      <c r="B115" s="13" t="inlineStr">
        <is>
          <t>Otros gastos operativos</t>
        </is>
      </c>
      <c r="C115" s="28">
        <f>$F$19</f>
        <v/>
      </c>
      <c r="D115" s="28">
        <f>$F$19</f>
        <v/>
      </c>
      <c r="E115" s="28">
        <f>$F$19</f>
        <v/>
      </c>
      <c r="F115" s="28">
        <f>$F$19</f>
        <v/>
      </c>
      <c r="G115" s="28">
        <f>$F$19</f>
        <v/>
      </c>
      <c r="H115" s="28">
        <f>$F$19</f>
        <v/>
      </c>
      <c r="I115" s="28">
        <f>$F$19</f>
        <v/>
      </c>
      <c r="J115" s="28">
        <f>$F$19</f>
        <v/>
      </c>
      <c r="K115" s="28">
        <f>$F$19</f>
        <v/>
      </c>
      <c r="L115" s="28">
        <f>$F$19</f>
        <v/>
      </c>
      <c r="M115" s="28">
        <f>$F$19</f>
        <v/>
      </c>
      <c r="N115" s="28">
        <f>$F$19</f>
        <v/>
      </c>
      <c r="O115" s="29">
        <f>SUM(C115:N115)</f>
        <v/>
      </c>
    </row>
    <row r="116">
      <c r="A116" s="20" t="inlineStr">
        <is>
          <t>COSTOS FIJOS</t>
        </is>
      </c>
      <c r="B116" s="20" t="inlineStr">
        <is>
          <t>Total de costos fijos</t>
        </is>
      </c>
      <c r="C116" s="18">
        <f>SUM(C108:C115)</f>
        <v/>
      </c>
      <c r="D116" s="18">
        <f>SUM(D108:D115)</f>
        <v/>
      </c>
      <c r="E116" s="18">
        <f>SUM(E108:E115)</f>
        <v/>
      </c>
      <c r="F116" s="18">
        <f>SUM(F108:F115)</f>
        <v/>
      </c>
      <c r="G116" s="18">
        <f>SUM(G108:G115)</f>
        <v/>
      </c>
      <c r="H116" s="18">
        <f>SUM(H108:H115)</f>
        <v/>
      </c>
      <c r="I116" s="18">
        <f>SUM(I108:I115)</f>
        <v/>
      </c>
      <c r="J116" s="18">
        <f>SUM(J108:J115)</f>
        <v/>
      </c>
      <c r="K116" s="18">
        <f>SUM(K108:K115)</f>
        <v/>
      </c>
      <c r="L116" s="18">
        <f>SUM(L108:L115)</f>
        <v/>
      </c>
      <c r="M116" s="18">
        <f>SUM(M108:M115)</f>
        <v/>
      </c>
      <c r="N116" s="18">
        <f>SUM(N108:N115)</f>
        <v/>
      </c>
      <c r="O116" s="29">
        <f>SUM(C116:N116)</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tabColor rgb="00ED7D31"/>
    <outlinePr summaryBelow="1" summaryRight="1"/>
    <pageSetUpPr/>
  </sheetPr>
  <dimension ref="A1:U46"/>
  <sheetViews>
    <sheetView showGridLines="0" workbookViewId="0">
      <pane xSplit="2" topLeftCell="C1" activePane="topRight" state="frozen"/>
      <selection pane="topRight" activeCell="A1" sqref="A1"/>
    </sheetView>
  </sheetViews>
  <sheetFormatPr baseColWidth="8" defaultRowHeight="15"/>
  <cols>
    <col width="22" customWidth="1" min="1" max="1"/>
    <col width="4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 width="30" customWidth="1" min="17" max="17"/>
    <col width="14" customWidth="1" min="18" max="18"/>
    <col width="14"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14"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4"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4" customWidth="1" min="54" max="54"/>
  </cols>
  <sheetData>
    <row r="1">
      <c r="A1" s="7" t="inlineStr">
        <is>
          <t>« Inicio</t>
        </is>
      </c>
    </row>
    <row r="2" ht="24" customHeight="1">
      <c r="B2" s="8" t="inlineStr">
        <is>
          <t>COSTOS VARIABLES</t>
        </is>
      </c>
    </row>
    <row r="3">
      <c r="B3" s="3" t="inlineStr">
        <is>
          <t>Se mueven con cada cliente. Los importes unitarios salen de la sección 6.5.3 del documento y se toman de la hoja Planes, para que no haya dos versiones del mismo número. Cada concepto se ajusta por el índice que le corresponde: los dos que se pagan en dólares siguen al tipo de cambio y el soporte, que es trabajo local, sigue a los salarios.</t>
        </is>
      </c>
      <c r="Q3" s="5" t="inlineStr">
        <is>
          <t>Resumen anual</t>
        </is>
      </c>
    </row>
    <row r="4">
      <c r="Q4" s="3" t="inlineStr">
        <is>
          <t>Los totales de cada año, que son los que alimentan el gráfico.</t>
        </is>
      </c>
    </row>
    <row r="5">
      <c r="Q5" s="20" t="inlineStr">
        <is>
          <t>Concepto</t>
        </is>
      </c>
      <c r="R5" s="11" t="n">
        <v>2027</v>
      </c>
      <c r="S5" s="11" t="n">
        <v>2028</v>
      </c>
      <c r="T5" s="11" t="n">
        <v>2029</v>
      </c>
      <c r="U5" s="11" t="n">
        <v>2030</v>
      </c>
    </row>
    <row r="6">
      <c r="Q6" s="13" t="inlineStr">
        <is>
          <t>Infraestructura en la nube</t>
        </is>
      </c>
      <c r="R6" s="28">
        <f>O11</f>
        <v/>
      </c>
      <c r="S6" s="28">
        <f>O21</f>
        <v/>
      </c>
      <c r="T6" s="28">
        <f>O31</f>
        <v/>
      </c>
      <c r="U6" s="28">
        <f>O41</f>
        <v/>
      </c>
    </row>
    <row r="7">
      <c r="C7" s="5" t="n">
        <v>2027</v>
      </c>
      <c r="Q7" s="13" t="inlineStr">
        <is>
          <t>Soporte</t>
        </is>
      </c>
      <c r="R7" s="28">
        <f>O12</f>
        <v/>
      </c>
      <c r="S7" s="28">
        <f>O22</f>
        <v/>
      </c>
      <c r="T7" s="28">
        <f>O32</f>
        <v/>
      </c>
      <c r="U7" s="28">
        <f>O42</f>
        <v/>
      </c>
    </row>
    <row r="8">
      <c r="C8" s="26" t="inlineStr">
        <is>
          <t>Ene</t>
        </is>
      </c>
      <c r="D8" s="26" t="inlineStr">
        <is>
          <t>Feb</t>
        </is>
      </c>
      <c r="E8" s="26" t="inlineStr">
        <is>
          <t>Mar</t>
        </is>
      </c>
      <c r="F8" s="26" t="inlineStr">
        <is>
          <t>Abr</t>
        </is>
      </c>
      <c r="G8" s="26" t="inlineStr">
        <is>
          <t>May</t>
        </is>
      </c>
      <c r="H8" s="26" t="inlineStr">
        <is>
          <t>Jun</t>
        </is>
      </c>
      <c r="I8" s="26" t="inlineStr">
        <is>
          <t>Jul</t>
        </is>
      </c>
      <c r="J8" s="26" t="inlineStr">
        <is>
          <t>Ago</t>
        </is>
      </c>
      <c r="K8" s="26" t="inlineStr">
        <is>
          <t>Sep</t>
        </is>
      </c>
      <c r="L8" s="26" t="inlineStr">
        <is>
          <t>Oct</t>
        </is>
      </c>
      <c r="M8" s="26" t="inlineStr">
        <is>
          <t>Nov</t>
        </is>
      </c>
      <c r="N8" s="26" t="inlineStr">
        <is>
          <t>Dic</t>
        </is>
      </c>
      <c r="O8" s="27" t="inlineStr">
        <is>
          <t>Total 2027</t>
        </is>
      </c>
      <c r="Q8" s="13" t="inlineStr">
        <is>
          <t>Servicio externo de IA</t>
        </is>
      </c>
      <c r="R8" s="28">
        <f>O13</f>
        <v/>
      </c>
      <c r="S8" s="28">
        <f>O23</f>
        <v/>
      </c>
      <c r="T8" s="28">
        <f>O33</f>
        <v/>
      </c>
      <c r="U8" s="28">
        <f>O43</f>
        <v/>
      </c>
    </row>
    <row r="9"/>
    <row r="10">
      <c r="B10" s="9" t="inlineStr">
        <is>
          <t>Por concepto</t>
        </is>
      </c>
      <c r="C10" s="10" t="n"/>
      <c r="D10" s="10" t="n"/>
      <c r="E10" s="10" t="n"/>
      <c r="F10" s="10" t="n"/>
      <c r="G10" s="10" t="n"/>
      <c r="H10" s="10" t="n"/>
      <c r="I10" s="10" t="n"/>
      <c r="J10" s="10" t="n"/>
      <c r="K10" s="10" t="n"/>
      <c r="L10" s="10" t="n"/>
      <c r="M10" s="10" t="n"/>
      <c r="N10" s="10" t="n"/>
      <c r="O10" s="10" t="n"/>
    </row>
    <row r="11">
      <c r="A11" s="20" t="inlineStr">
        <is>
          <t>VARIABLES</t>
        </is>
      </c>
      <c r="B11" s="13" t="inlineStr">
        <is>
          <t>Infraestructura por cliente (sigue al dólar)</t>
        </is>
      </c>
      <c r="C11" s="28">
        <f>('Proyección de ventas'!C20*Planes!$G$7+'Proyección de ventas'!C26*Planes!$G$8+'Proyección de ventas'!C30*Planes!$G$9)*1</f>
        <v/>
      </c>
      <c r="D11" s="28">
        <f>('Proyección de ventas'!D20*Planes!$G$7+'Proyección de ventas'!D26*Planes!$G$8+'Proyección de ventas'!D30*Planes!$G$9)*1</f>
        <v/>
      </c>
      <c r="E11" s="28">
        <f>('Proyección de ventas'!E20*Planes!$G$7+'Proyección de ventas'!E26*Planes!$G$8+'Proyección de ventas'!E30*Planes!$G$9)*1</f>
        <v/>
      </c>
      <c r="F11" s="28">
        <f>('Proyección de ventas'!F20*Planes!$G$7+'Proyección de ventas'!F26*Planes!$G$8+'Proyección de ventas'!F30*Planes!$G$9)*1</f>
        <v/>
      </c>
      <c r="G11" s="28">
        <f>('Proyección de ventas'!G20*Planes!$G$7+'Proyección de ventas'!G26*Planes!$G$8+'Proyección de ventas'!G30*Planes!$G$9)*1</f>
        <v/>
      </c>
      <c r="H11" s="28">
        <f>('Proyección de ventas'!H20*Planes!$G$7+'Proyección de ventas'!H26*Planes!$G$8+'Proyección de ventas'!H30*Planes!$G$9)*1</f>
        <v/>
      </c>
      <c r="I11" s="28">
        <f>('Proyección de ventas'!I20*Planes!$G$7+'Proyección de ventas'!I26*Planes!$G$8+'Proyección de ventas'!I30*Planes!$G$9)*1</f>
        <v/>
      </c>
      <c r="J11" s="28">
        <f>('Proyección de ventas'!J20*Planes!$G$7+'Proyección de ventas'!J26*Planes!$G$8+'Proyección de ventas'!J30*Planes!$G$9)*1</f>
        <v/>
      </c>
      <c r="K11" s="28">
        <f>('Proyección de ventas'!K20*Planes!$G$7+'Proyección de ventas'!K26*Planes!$G$8+'Proyección de ventas'!K30*Planes!$G$9)*1</f>
        <v/>
      </c>
      <c r="L11" s="28">
        <f>('Proyección de ventas'!L20*Planes!$G$7+'Proyección de ventas'!L26*Planes!$G$8+'Proyección de ventas'!L30*Planes!$G$9)*1</f>
        <v/>
      </c>
      <c r="M11" s="28">
        <f>('Proyección de ventas'!M20*Planes!$G$7+'Proyección de ventas'!M26*Planes!$G$8+'Proyección de ventas'!M30*Planes!$G$9)*1</f>
        <v/>
      </c>
      <c r="N11" s="28">
        <f>('Proyección de ventas'!N20*Planes!$G$7+'Proyección de ventas'!N26*Planes!$G$8+'Proyección de ventas'!N30*Planes!$G$9)*1</f>
        <v/>
      </c>
      <c r="O11" s="29">
        <f>SUM(C11:N11)</f>
        <v/>
      </c>
    </row>
    <row r="12">
      <c r="B12" s="13" t="inlineStr">
        <is>
          <t>Soporte y onboarding por cliente (sigue a los salarios)</t>
        </is>
      </c>
      <c r="C12" s="28">
        <f>('Proyección de ventas'!C20*Planes!$H$7+'Proyección de ventas'!C26*Planes!$H$8+'Proyección de ventas'!C30*Planes!$H$9)*1</f>
        <v/>
      </c>
      <c r="D12" s="28">
        <f>('Proyección de ventas'!D20*Planes!$H$7+'Proyección de ventas'!D26*Planes!$H$8+'Proyección de ventas'!D30*Planes!$H$9)*1</f>
        <v/>
      </c>
      <c r="E12" s="28">
        <f>('Proyección de ventas'!E20*Planes!$H$7+'Proyección de ventas'!E26*Planes!$H$8+'Proyección de ventas'!E30*Planes!$H$9)*1</f>
        <v/>
      </c>
      <c r="F12" s="28">
        <f>('Proyección de ventas'!F20*Planes!$H$7+'Proyección de ventas'!F26*Planes!$H$8+'Proyección de ventas'!F30*Planes!$H$9)*1</f>
        <v/>
      </c>
      <c r="G12" s="28">
        <f>('Proyección de ventas'!G20*Planes!$H$7+'Proyección de ventas'!G26*Planes!$H$8+'Proyección de ventas'!G30*Planes!$H$9)*1</f>
        <v/>
      </c>
      <c r="H12" s="28">
        <f>('Proyección de ventas'!H20*Planes!$H$7+'Proyección de ventas'!H26*Planes!$H$8+'Proyección de ventas'!H30*Planes!$H$9)*1</f>
        <v/>
      </c>
      <c r="I12" s="28">
        <f>('Proyección de ventas'!I20*Planes!$H$7+'Proyección de ventas'!I26*Planes!$H$8+'Proyección de ventas'!I30*Planes!$H$9)*1</f>
        <v/>
      </c>
      <c r="J12" s="28">
        <f>('Proyección de ventas'!J20*Planes!$H$7+'Proyección de ventas'!J26*Planes!$H$8+'Proyección de ventas'!J30*Planes!$H$9)*1</f>
        <v/>
      </c>
      <c r="K12" s="28">
        <f>('Proyección de ventas'!K20*Planes!$H$7+'Proyección de ventas'!K26*Planes!$H$8+'Proyección de ventas'!K30*Planes!$H$9)*1</f>
        <v/>
      </c>
      <c r="L12" s="28">
        <f>('Proyección de ventas'!L20*Planes!$H$7+'Proyección de ventas'!L26*Planes!$H$8+'Proyección de ventas'!L30*Planes!$H$9)*1</f>
        <v/>
      </c>
      <c r="M12" s="28">
        <f>('Proyección de ventas'!M20*Planes!$H$7+'Proyección de ventas'!M26*Planes!$H$8+'Proyección de ventas'!M30*Planes!$H$9)*1</f>
        <v/>
      </c>
      <c r="N12" s="28">
        <f>('Proyección de ventas'!N20*Planes!$H$7+'Proyección de ventas'!N26*Planes!$H$8+'Proyección de ventas'!N30*Planes!$H$9)*1</f>
        <v/>
      </c>
      <c r="O12" s="29">
        <f>SUM(C12:N12)</f>
        <v/>
      </c>
    </row>
    <row r="13">
      <c r="B13" s="13" t="inlineStr">
        <is>
          <t>Servicio externo de inteligencia artificial (sigue al dólar)</t>
        </is>
      </c>
      <c r="C13" s="28">
        <f>('Proyección de ventas'!C20*Planes!$I$7+'Proyección de ventas'!C26*Planes!$I$8+'Proyección de ventas'!C30*Planes!$I$9)*1</f>
        <v/>
      </c>
      <c r="D13" s="28">
        <f>('Proyección de ventas'!D20*Planes!$I$7+'Proyección de ventas'!D26*Planes!$I$8+'Proyección de ventas'!D30*Planes!$I$9)*1</f>
        <v/>
      </c>
      <c r="E13" s="28">
        <f>('Proyección de ventas'!E20*Planes!$I$7+'Proyección de ventas'!E26*Planes!$I$8+'Proyección de ventas'!E30*Planes!$I$9)*1</f>
        <v/>
      </c>
      <c r="F13" s="28">
        <f>('Proyección de ventas'!F20*Planes!$I$7+'Proyección de ventas'!F26*Planes!$I$8+'Proyección de ventas'!F30*Planes!$I$9)*1</f>
        <v/>
      </c>
      <c r="G13" s="28">
        <f>('Proyección de ventas'!G20*Planes!$I$7+'Proyección de ventas'!G26*Planes!$I$8+'Proyección de ventas'!G30*Planes!$I$9)*1</f>
        <v/>
      </c>
      <c r="H13" s="28">
        <f>('Proyección de ventas'!H20*Planes!$I$7+'Proyección de ventas'!H26*Planes!$I$8+'Proyección de ventas'!H30*Planes!$I$9)*1</f>
        <v/>
      </c>
      <c r="I13" s="28">
        <f>('Proyección de ventas'!I20*Planes!$I$7+'Proyección de ventas'!I26*Planes!$I$8+'Proyección de ventas'!I30*Planes!$I$9)*1</f>
        <v/>
      </c>
      <c r="J13" s="28">
        <f>('Proyección de ventas'!J20*Planes!$I$7+'Proyección de ventas'!J26*Planes!$I$8+'Proyección de ventas'!J30*Planes!$I$9)*1</f>
        <v/>
      </c>
      <c r="K13" s="28">
        <f>('Proyección de ventas'!K20*Planes!$I$7+'Proyección de ventas'!K26*Planes!$I$8+'Proyección de ventas'!K30*Planes!$I$9)*1</f>
        <v/>
      </c>
      <c r="L13" s="28">
        <f>('Proyección de ventas'!L20*Planes!$I$7+'Proyección de ventas'!L26*Planes!$I$8+'Proyección de ventas'!L30*Planes!$I$9)*1</f>
        <v/>
      </c>
      <c r="M13" s="28">
        <f>('Proyección de ventas'!M20*Planes!$I$7+'Proyección de ventas'!M26*Planes!$I$8+'Proyección de ventas'!M30*Planes!$I$9)*1</f>
        <v/>
      </c>
      <c r="N13" s="28">
        <f>('Proyección de ventas'!N20*Planes!$I$7+'Proyección de ventas'!N26*Planes!$I$8+'Proyección de ventas'!N30*Planes!$I$9)*1</f>
        <v/>
      </c>
      <c r="O13" s="29">
        <f>SUM(C13:N13)</f>
        <v/>
      </c>
    </row>
    <row r="14">
      <c r="B14" s="20" t="inlineStr">
        <is>
          <t>Total de costos variables</t>
        </is>
      </c>
      <c r="C14" s="18">
        <f>SUM(C11:C13)</f>
        <v/>
      </c>
      <c r="D14" s="18">
        <f>SUM(D11:D13)</f>
        <v/>
      </c>
      <c r="E14" s="18">
        <f>SUM(E11:E13)</f>
        <v/>
      </c>
      <c r="F14" s="18">
        <f>SUM(F11:F13)</f>
        <v/>
      </c>
      <c r="G14" s="18">
        <f>SUM(G11:G13)</f>
        <v/>
      </c>
      <c r="H14" s="18">
        <f>SUM(H11:H13)</f>
        <v/>
      </c>
      <c r="I14" s="18">
        <f>SUM(I11:I13)</f>
        <v/>
      </c>
      <c r="J14" s="18">
        <f>SUM(J11:J13)</f>
        <v/>
      </c>
      <c r="K14" s="18">
        <f>SUM(K11:K13)</f>
        <v/>
      </c>
      <c r="L14" s="18">
        <f>SUM(L11:L13)</f>
        <v/>
      </c>
      <c r="M14" s="18">
        <f>SUM(M11:M13)</f>
        <v/>
      </c>
      <c r="N14" s="18">
        <f>SUM(N11:N13)</f>
        <v/>
      </c>
      <c r="O14" s="29">
        <f>SUM(C14:N14)</f>
        <v/>
      </c>
    </row>
    <row r="15"/>
    <row r="16">
      <c r="B16" s="3" t="n"/>
    </row>
    <row r="17">
      <c r="C17" s="5" t="n">
        <v>2028</v>
      </c>
    </row>
    <row r="18">
      <c r="C18" s="26" t="inlineStr">
        <is>
          <t>Ene</t>
        </is>
      </c>
      <c r="D18" s="26" t="inlineStr">
        <is>
          <t>Feb</t>
        </is>
      </c>
      <c r="E18" s="26" t="inlineStr">
        <is>
          <t>Mar</t>
        </is>
      </c>
      <c r="F18" s="26" t="inlineStr">
        <is>
          <t>Abr</t>
        </is>
      </c>
      <c r="G18" s="26" t="inlineStr">
        <is>
          <t>May</t>
        </is>
      </c>
      <c r="H18" s="26" t="inlineStr">
        <is>
          <t>Jun</t>
        </is>
      </c>
      <c r="I18" s="26" t="inlineStr">
        <is>
          <t>Jul</t>
        </is>
      </c>
      <c r="J18" s="26" t="inlineStr">
        <is>
          <t>Ago</t>
        </is>
      </c>
      <c r="K18" s="26" t="inlineStr">
        <is>
          <t>Sep</t>
        </is>
      </c>
      <c r="L18" s="26" t="inlineStr">
        <is>
          <t>Oct</t>
        </is>
      </c>
      <c r="M18" s="26" t="inlineStr">
        <is>
          <t>Nov</t>
        </is>
      </c>
      <c r="N18" s="26" t="inlineStr">
        <is>
          <t>Dic</t>
        </is>
      </c>
      <c r="O18" s="27" t="inlineStr">
        <is>
          <t>Total 2028</t>
        </is>
      </c>
    </row>
    <row r="19"/>
    <row r="20">
      <c r="B20" s="9" t="inlineStr">
        <is>
          <t>Por concepto</t>
        </is>
      </c>
      <c r="C20" s="10" t="n"/>
      <c r="D20" s="10" t="n"/>
      <c r="E20" s="10" t="n"/>
      <c r="F20" s="10" t="n"/>
      <c r="G20" s="10" t="n"/>
      <c r="H20" s="10" t="n"/>
      <c r="I20" s="10" t="n"/>
      <c r="J20" s="10" t="n"/>
      <c r="K20" s="10" t="n"/>
      <c r="L20" s="10" t="n"/>
      <c r="M20" s="10" t="n"/>
      <c r="N20" s="10" t="n"/>
      <c r="O20" s="10" t="n"/>
    </row>
    <row r="21">
      <c r="A21" s="20" t="inlineStr">
        <is>
          <t>VARIABLES</t>
        </is>
      </c>
      <c r="B21" s="13" t="inlineStr">
        <is>
          <t>Infraestructura por cliente (sigue al dólar)</t>
        </is>
      </c>
      <c r="C21" s="28">
        <f>('Proyección de ventas'!C50*Planes!$G$7+'Proyección de ventas'!C56*Planes!$G$8+'Proyección de ventas'!C60*Planes!$G$9)*Hipótesis!$D$9/Hipótesis!$C$9</f>
        <v/>
      </c>
      <c r="D21" s="28">
        <f>('Proyección de ventas'!D50*Planes!$G$7+'Proyección de ventas'!D56*Planes!$G$8+'Proyección de ventas'!D60*Planes!$G$9)*Hipótesis!$D$9/Hipótesis!$C$9</f>
        <v/>
      </c>
      <c r="E21" s="28">
        <f>('Proyección de ventas'!E50*Planes!$G$7+'Proyección de ventas'!E56*Planes!$G$8+'Proyección de ventas'!E60*Planes!$G$9)*Hipótesis!$D$9/Hipótesis!$C$9</f>
        <v/>
      </c>
      <c r="F21" s="28">
        <f>('Proyección de ventas'!F50*Planes!$G$7+'Proyección de ventas'!F56*Planes!$G$8+'Proyección de ventas'!F60*Planes!$G$9)*Hipótesis!$D$9/Hipótesis!$C$9</f>
        <v/>
      </c>
      <c r="G21" s="28">
        <f>('Proyección de ventas'!G50*Planes!$G$7+'Proyección de ventas'!G56*Planes!$G$8+'Proyección de ventas'!G60*Planes!$G$9)*Hipótesis!$D$9/Hipótesis!$C$9</f>
        <v/>
      </c>
      <c r="H21" s="28">
        <f>('Proyección de ventas'!H50*Planes!$G$7+'Proyección de ventas'!H56*Planes!$G$8+'Proyección de ventas'!H60*Planes!$G$9)*Hipótesis!$D$9/Hipótesis!$C$9</f>
        <v/>
      </c>
      <c r="I21" s="28">
        <f>('Proyección de ventas'!I50*Planes!$G$7+'Proyección de ventas'!I56*Planes!$G$8+'Proyección de ventas'!I60*Planes!$G$9)*Hipótesis!$D$9/Hipótesis!$C$9</f>
        <v/>
      </c>
      <c r="J21" s="28">
        <f>('Proyección de ventas'!J50*Planes!$G$7+'Proyección de ventas'!J56*Planes!$G$8+'Proyección de ventas'!J60*Planes!$G$9)*Hipótesis!$D$9/Hipótesis!$C$9</f>
        <v/>
      </c>
      <c r="K21" s="28">
        <f>('Proyección de ventas'!K50*Planes!$G$7+'Proyección de ventas'!K56*Planes!$G$8+'Proyección de ventas'!K60*Planes!$G$9)*Hipótesis!$D$9/Hipótesis!$C$9</f>
        <v/>
      </c>
      <c r="L21" s="28">
        <f>('Proyección de ventas'!L50*Planes!$G$7+'Proyección de ventas'!L56*Planes!$G$8+'Proyección de ventas'!L60*Planes!$G$9)*Hipótesis!$D$9/Hipótesis!$C$9</f>
        <v/>
      </c>
      <c r="M21" s="28">
        <f>('Proyección de ventas'!M50*Planes!$G$7+'Proyección de ventas'!M56*Planes!$G$8+'Proyección de ventas'!M60*Planes!$G$9)*Hipótesis!$D$9/Hipótesis!$C$9</f>
        <v/>
      </c>
      <c r="N21" s="28">
        <f>('Proyección de ventas'!N50*Planes!$G$7+'Proyección de ventas'!N56*Planes!$G$8+'Proyección de ventas'!N60*Planes!$G$9)*Hipótesis!$D$9/Hipótesis!$C$9</f>
        <v/>
      </c>
      <c r="O21" s="29">
        <f>SUM(C21:N21)</f>
        <v/>
      </c>
    </row>
    <row r="22">
      <c r="B22" s="13" t="inlineStr">
        <is>
          <t>Soporte y onboarding por cliente (sigue a los salarios)</t>
        </is>
      </c>
      <c r="C22" s="28">
        <f>('Proyección de ventas'!C50*Planes!$H$7+'Proyección de ventas'!C56*Planes!$H$8+'Proyección de ventas'!C60*Planes!$H$9)*(1+Hipótesis!$D$14)</f>
        <v/>
      </c>
      <c r="D22" s="28">
        <f>('Proyección de ventas'!D50*Planes!$H$7+'Proyección de ventas'!D56*Planes!$H$8+'Proyección de ventas'!D60*Planes!$H$9)*(1+Hipótesis!$D$14)</f>
        <v/>
      </c>
      <c r="E22" s="28">
        <f>('Proyección de ventas'!E50*Planes!$H$7+'Proyección de ventas'!E56*Planes!$H$8+'Proyección de ventas'!E60*Planes!$H$9)*(1+Hipótesis!$D$14)</f>
        <v/>
      </c>
      <c r="F22" s="28">
        <f>('Proyección de ventas'!F50*Planes!$H$7+'Proyección de ventas'!F56*Planes!$H$8+'Proyección de ventas'!F60*Planes!$H$9)*(1+Hipótesis!$D$14)</f>
        <v/>
      </c>
      <c r="G22" s="28">
        <f>('Proyección de ventas'!G50*Planes!$H$7+'Proyección de ventas'!G56*Planes!$H$8+'Proyección de ventas'!G60*Planes!$H$9)*(1+Hipótesis!$D$14)</f>
        <v/>
      </c>
      <c r="H22" s="28">
        <f>('Proyección de ventas'!H50*Planes!$H$7+'Proyección de ventas'!H56*Planes!$H$8+'Proyección de ventas'!H60*Planes!$H$9)*(1+Hipótesis!$D$14)</f>
        <v/>
      </c>
      <c r="I22" s="28">
        <f>('Proyección de ventas'!I50*Planes!$H$7+'Proyección de ventas'!I56*Planes!$H$8+'Proyección de ventas'!I60*Planes!$H$9)*(1+Hipótesis!$D$14)</f>
        <v/>
      </c>
      <c r="J22" s="28">
        <f>('Proyección de ventas'!J50*Planes!$H$7+'Proyección de ventas'!J56*Planes!$H$8+'Proyección de ventas'!J60*Planes!$H$9)*(1+Hipótesis!$D$14)</f>
        <v/>
      </c>
      <c r="K22" s="28">
        <f>('Proyección de ventas'!K50*Planes!$H$7+'Proyección de ventas'!K56*Planes!$H$8+'Proyección de ventas'!K60*Planes!$H$9)*(1+Hipótesis!$D$14)</f>
        <v/>
      </c>
      <c r="L22" s="28">
        <f>('Proyección de ventas'!L50*Planes!$H$7+'Proyección de ventas'!L56*Planes!$H$8+'Proyección de ventas'!L60*Planes!$H$9)*(1+Hipótesis!$D$14)</f>
        <v/>
      </c>
      <c r="M22" s="28">
        <f>('Proyección de ventas'!M50*Planes!$H$7+'Proyección de ventas'!M56*Planes!$H$8+'Proyección de ventas'!M60*Planes!$H$9)*(1+Hipótesis!$D$14)</f>
        <v/>
      </c>
      <c r="N22" s="28">
        <f>('Proyección de ventas'!N50*Planes!$H$7+'Proyección de ventas'!N56*Planes!$H$8+'Proyección de ventas'!N60*Planes!$H$9)*(1+Hipótesis!$D$14)</f>
        <v/>
      </c>
      <c r="O22" s="29">
        <f>SUM(C22:N22)</f>
        <v/>
      </c>
    </row>
    <row r="23">
      <c r="B23" s="13" t="inlineStr">
        <is>
          <t>Servicio externo de inteligencia artificial (sigue al dólar)</t>
        </is>
      </c>
      <c r="C23" s="28">
        <f>('Proyección de ventas'!C50*Planes!$I$7+'Proyección de ventas'!C56*Planes!$I$8+'Proyección de ventas'!C60*Planes!$I$9)*Hipótesis!$D$9/Hipótesis!$C$9</f>
        <v/>
      </c>
      <c r="D23" s="28">
        <f>('Proyección de ventas'!D50*Planes!$I$7+'Proyección de ventas'!D56*Planes!$I$8+'Proyección de ventas'!D60*Planes!$I$9)*Hipótesis!$D$9/Hipótesis!$C$9</f>
        <v/>
      </c>
      <c r="E23" s="28">
        <f>('Proyección de ventas'!E50*Planes!$I$7+'Proyección de ventas'!E56*Planes!$I$8+'Proyección de ventas'!E60*Planes!$I$9)*Hipótesis!$D$9/Hipótesis!$C$9</f>
        <v/>
      </c>
      <c r="F23" s="28">
        <f>('Proyección de ventas'!F50*Planes!$I$7+'Proyección de ventas'!F56*Planes!$I$8+'Proyección de ventas'!F60*Planes!$I$9)*Hipótesis!$D$9/Hipótesis!$C$9</f>
        <v/>
      </c>
      <c r="G23" s="28">
        <f>('Proyección de ventas'!G50*Planes!$I$7+'Proyección de ventas'!G56*Planes!$I$8+'Proyección de ventas'!G60*Planes!$I$9)*Hipótesis!$D$9/Hipótesis!$C$9</f>
        <v/>
      </c>
      <c r="H23" s="28">
        <f>('Proyección de ventas'!H50*Planes!$I$7+'Proyección de ventas'!H56*Planes!$I$8+'Proyección de ventas'!H60*Planes!$I$9)*Hipótesis!$D$9/Hipótesis!$C$9</f>
        <v/>
      </c>
      <c r="I23" s="28">
        <f>('Proyección de ventas'!I50*Planes!$I$7+'Proyección de ventas'!I56*Planes!$I$8+'Proyección de ventas'!I60*Planes!$I$9)*Hipótesis!$D$9/Hipótesis!$C$9</f>
        <v/>
      </c>
      <c r="J23" s="28">
        <f>('Proyección de ventas'!J50*Planes!$I$7+'Proyección de ventas'!J56*Planes!$I$8+'Proyección de ventas'!J60*Planes!$I$9)*Hipótesis!$D$9/Hipótesis!$C$9</f>
        <v/>
      </c>
      <c r="K23" s="28">
        <f>('Proyección de ventas'!K50*Planes!$I$7+'Proyección de ventas'!K56*Planes!$I$8+'Proyección de ventas'!K60*Planes!$I$9)*Hipótesis!$D$9/Hipótesis!$C$9</f>
        <v/>
      </c>
      <c r="L23" s="28">
        <f>('Proyección de ventas'!L50*Planes!$I$7+'Proyección de ventas'!L56*Planes!$I$8+'Proyección de ventas'!L60*Planes!$I$9)*Hipótesis!$D$9/Hipótesis!$C$9</f>
        <v/>
      </c>
      <c r="M23" s="28">
        <f>('Proyección de ventas'!M50*Planes!$I$7+'Proyección de ventas'!M56*Planes!$I$8+'Proyección de ventas'!M60*Planes!$I$9)*Hipótesis!$D$9/Hipótesis!$C$9</f>
        <v/>
      </c>
      <c r="N23" s="28">
        <f>('Proyección de ventas'!N50*Planes!$I$7+'Proyección de ventas'!N56*Planes!$I$8+'Proyección de ventas'!N60*Planes!$I$9)*Hipótesis!$D$9/Hipótesis!$C$9</f>
        <v/>
      </c>
      <c r="O23" s="29">
        <f>SUM(C23:N23)</f>
        <v/>
      </c>
    </row>
    <row r="24">
      <c r="B24" s="20" t="inlineStr">
        <is>
          <t>Total de costos variables</t>
        </is>
      </c>
      <c r="C24" s="18">
        <f>SUM(C21:C23)</f>
        <v/>
      </c>
      <c r="D24" s="18">
        <f>SUM(D21:D23)</f>
        <v/>
      </c>
      <c r="E24" s="18">
        <f>SUM(E21:E23)</f>
        <v/>
      </c>
      <c r="F24" s="18">
        <f>SUM(F21:F23)</f>
        <v/>
      </c>
      <c r="G24" s="18">
        <f>SUM(G21:G23)</f>
        <v/>
      </c>
      <c r="H24" s="18">
        <f>SUM(H21:H23)</f>
        <v/>
      </c>
      <c r="I24" s="18">
        <f>SUM(I21:I23)</f>
        <v/>
      </c>
      <c r="J24" s="18">
        <f>SUM(J21:J23)</f>
        <v/>
      </c>
      <c r="K24" s="18">
        <f>SUM(K21:K23)</f>
        <v/>
      </c>
      <c r="L24" s="18">
        <f>SUM(L21:L23)</f>
        <v/>
      </c>
      <c r="M24" s="18">
        <f>SUM(M21:M23)</f>
        <v/>
      </c>
      <c r="N24" s="18">
        <f>SUM(N21:N23)</f>
        <v/>
      </c>
      <c r="O24" s="29">
        <f>SUM(C24:N24)</f>
        <v/>
      </c>
    </row>
    <row r="25"/>
    <row r="26"/>
    <row r="27">
      <c r="C27" s="5" t="n">
        <v>2029</v>
      </c>
    </row>
    <row r="28">
      <c r="C28" s="26" t="inlineStr">
        <is>
          <t>Ene</t>
        </is>
      </c>
      <c r="D28" s="26" t="inlineStr">
        <is>
          <t>Feb</t>
        </is>
      </c>
      <c r="E28" s="26" t="inlineStr">
        <is>
          <t>Mar</t>
        </is>
      </c>
      <c r="F28" s="26" t="inlineStr">
        <is>
          <t>Abr</t>
        </is>
      </c>
      <c r="G28" s="26" t="inlineStr">
        <is>
          <t>May</t>
        </is>
      </c>
      <c r="H28" s="26" t="inlineStr">
        <is>
          <t>Jun</t>
        </is>
      </c>
      <c r="I28" s="26" t="inlineStr">
        <is>
          <t>Jul</t>
        </is>
      </c>
      <c r="J28" s="26" t="inlineStr">
        <is>
          <t>Ago</t>
        </is>
      </c>
      <c r="K28" s="26" t="inlineStr">
        <is>
          <t>Sep</t>
        </is>
      </c>
      <c r="L28" s="26" t="inlineStr">
        <is>
          <t>Oct</t>
        </is>
      </c>
      <c r="M28" s="26" t="inlineStr">
        <is>
          <t>Nov</t>
        </is>
      </c>
      <c r="N28" s="26" t="inlineStr">
        <is>
          <t>Dic</t>
        </is>
      </c>
      <c r="O28" s="27" t="inlineStr">
        <is>
          <t>Total 2029</t>
        </is>
      </c>
    </row>
    <row r="29"/>
    <row r="30">
      <c r="B30" s="9" t="inlineStr">
        <is>
          <t>Por concepto</t>
        </is>
      </c>
      <c r="C30" s="10" t="n"/>
      <c r="D30" s="10" t="n"/>
      <c r="E30" s="10" t="n"/>
      <c r="F30" s="10" t="n"/>
      <c r="G30" s="10" t="n"/>
      <c r="H30" s="10" t="n"/>
      <c r="I30" s="10" t="n"/>
      <c r="J30" s="10" t="n"/>
      <c r="K30" s="10" t="n"/>
      <c r="L30" s="10" t="n"/>
      <c r="M30" s="10" t="n"/>
      <c r="N30" s="10" t="n"/>
      <c r="O30" s="10" t="n"/>
    </row>
    <row r="31">
      <c r="A31" s="20" t="inlineStr">
        <is>
          <t>VARIABLES</t>
        </is>
      </c>
      <c r="B31" s="13" t="inlineStr">
        <is>
          <t>Infraestructura por cliente (sigue al dólar)</t>
        </is>
      </c>
      <c r="C31" s="28">
        <f>('Proyección de ventas'!C80*Planes!$G$7+'Proyección de ventas'!C86*Planes!$G$8+'Proyección de ventas'!C90*Planes!$G$9)*Hipótesis!$E$9/Hipótesis!$C$9</f>
        <v/>
      </c>
      <c r="D31" s="28">
        <f>('Proyección de ventas'!D80*Planes!$G$7+'Proyección de ventas'!D86*Planes!$G$8+'Proyección de ventas'!D90*Planes!$G$9)*Hipótesis!$E$9/Hipótesis!$C$9</f>
        <v/>
      </c>
      <c r="E31" s="28">
        <f>('Proyección de ventas'!E80*Planes!$G$7+'Proyección de ventas'!E86*Planes!$G$8+'Proyección de ventas'!E90*Planes!$G$9)*Hipótesis!$E$9/Hipótesis!$C$9</f>
        <v/>
      </c>
      <c r="F31" s="28">
        <f>('Proyección de ventas'!F80*Planes!$G$7+'Proyección de ventas'!F86*Planes!$G$8+'Proyección de ventas'!F90*Planes!$G$9)*Hipótesis!$E$9/Hipótesis!$C$9</f>
        <v/>
      </c>
      <c r="G31" s="28">
        <f>('Proyección de ventas'!G80*Planes!$G$7+'Proyección de ventas'!G86*Planes!$G$8+'Proyección de ventas'!G90*Planes!$G$9)*Hipótesis!$E$9/Hipótesis!$C$9</f>
        <v/>
      </c>
      <c r="H31" s="28">
        <f>('Proyección de ventas'!H80*Planes!$G$7+'Proyección de ventas'!H86*Planes!$G$8+'Proyección de ventas'!H90*Planes!$G$9)*Hipótesis!$E$9/Hipótesis!$C$9</f>
        <v/>
      </c>
      <c r="I31" s="28">
        <f>('Proyección de ventas'!I80*Planes!$G$7+'Proyección de ventas'!I86*Planes!$G$8+'Proyección de ventas'!I90*Planes!$G$9)*Hipótesis!$E$9/Hipótesis!$C$9</f>
        <v/>
      </c>
      <c r="J31" s="28">
        <f>('Proyección de ventas'!J80*Planes!$G$7+'Proyección de ventas'!J86*Planes!$G$8+'Proyección de ventas'!J90*Planes!$G$9)*Hipótesis!$E$9/Hipótesis!$C$9</f>
        <v/>
      </c>
      <c r="K31" s="28">
        <f>('Proyección de ventas'!K80*Planes!$G$7+'Proyección de ventas'!K86*Planes!$G$8+'Proyección de ventas'!K90*Planes!$G$9)*Hipótesis!$E$9/Hipótesis!$C$9</f>
        <v/>
      </c>
      <c r="L31" s="28">
        <f>('Proyección de ventas'!L80*Planes!$G$7+'Proyección de ventas'!L86*Planes!$G$8+'Proyección de ventas'!L90*Planes!$G$9)*Hipótesis!$E$9/Hipótesis!$C$9</f>
        <v/>
      </c>
      <c r="M31" s="28">
        <f>('Proyección de ventas'!M80*Planes!$G$7+'Proyección de ventas'!M86*Planes!$G$8+'Proyección de ventas'!M90*Planes!$G$9)*Hipótesis!$E$9/Hipótesis!$C$9</f>
        <v/>
      </c>
      <c r="N31" s="28">
        <f>('Proyección de ventas'!N80*Planes!$G$7+'Proyección de ventas'!N86*Planes!$G$8+'Proyección de ventas'!N90*Planes!$G$9)*Hipótesis!$E$9/Hipótesis!$C$9</f>
        <v/>
      </c>
      <c r="O31" s="29">
        <f>SUM(C31:N31)</f>
        <v/>
      </c>
    </row>
    <row r="32">
      <c r="B32" s="13" t="inlineStr">
        <is>
          <t>Soporte y onboarding por cliente (sigue a los salarios)</t>
        </is>
      </c>
      <c r="C32" s="28">
        <f>('Proyección de ventas'!C80*Planes!$H$7+'Proyección de ventas'!C86*Planes!$H$8+'Proyección de ventas'!C90*Planes!$H$9)*(1+Hipótesis!$D$14)*(1+Hipótesis!$E$14)</f>
        <v/>
      </c>
      <c r="D32" s="28">
        <f>('Proyección de ventas'!D80*Planes!$H$7+'Proyección de ventas'!D86*Planes!$H$8+'Proyección de ventas'!D90*Planes!$H$9)*(1+Hipótesis!$D$14)*(1+Hipótesis!$E$14)</f>
        <v/>
      </c>
      <c r="E32" s="28">
        <f>('Proyección de ventas'!E80*Planes!$H$7+'Proyección de ventas'!E86*Planes!$H$8+'Proyección de ventas'!E90*Planes!$H$9)*(1+Hipótesis!$D$14)*(1+Hipótesis!$E$14)</f>
        <v/>
      </c>
      <c r="F32" s="28">
        <f>('Proyección de ventas'!F80*Planes!$H$7+'Proyección de ventas'!F86*Planes!$H$8+'Proyección de ventas'!F90*Planes!$H$9)*(1+Hipótesis!$D$14)*(1+Hipótesis!$E$14)</f>
        <v/>
      </c>
      <c r="G32" s="28">
        <f>('Proyección de ventas'!G80*Planes!$H$7+'Proyección de ventas'!G86*Planes!$H$8+'Proyección de ventas'!G90*Planes!$H$9)*(1+Hipótesis!$D$14)*(1+Hipótesis!$E$14)</f>
        <v/>
      </c>
      <c r="H32" s="28">
        <f>('Proyección de ventas'!H80*Planes!$H$7+'Proyección de ventas'!H86*Planes!$H$8+'Proyección de ventas'!H90*Planes!$H$9)*(1+Hipótesis!$D$14)*(1+Hipótesis!$E$14)</f>
        <v/>
      </c>
      <c r="I32" s="28">
        <f>('Proyección de ventas'!I80*Planes!$H$7+'Proyección de ventas'!I86*Planes!$H$8+'Proyección de ventas'!I90*Planes!$H$9)*(1+Hipótesis!$D$14)*(1+Hipótesis!$E$14)</f>
        <v/>
      </c>
      <c r="J32" s="28">
        <f>('Proyección de ventas'!J80*Planes!$H$7+'Proyección de ventas'!J86*Planes!$H$8+'Proyección de ventas'!J90*Planes!$H$9)*(1+Hipótesis!$D$14)*(1+Hipótesis!$E$14)</f>
        <v/>
      </c>
      <c r="K32" s="28">
        <f>('Proyección de ventas'!K80*Planes!$H$7+'Proyección de ventas'!K86*Planes!$H$8+'Proyección de ventas'!K90*Planes!$H$9)*(1+Hipótesis!$D$14)*(1+Hipótesis!$E$14)</f>
        <v/>
      </c>
      <c r="L32" s="28">
        <f>('Proyección de ventas'!L80*Planes!$H$7+'Proyección de ventas'!L86*Planes!$H$8+'Proyección de ventas'!L90*Planes!$H$9)*(1+Hipótesis!$D$14)*(1+Hipótesis!$E$14)</f>
        <v/>
      </c>
      <c r="M32" s="28">
        <f>('Proyección de ventas'!M80*Planes!$H$7+'Proyección de ventas'!M86*Planes!$H$8+'Proyección de ventas'!M90*Planes!$H$9)*(1+Hipótesis!$D$14)*(1+Hipótesis!$E$14)</f>
        <v/>
      </c>
      <c r="N32" s="28">
        <f>('Proyección de ventas'!N80*Planes!$H$7+'Proyección de ventas'!N86*Planes!$H$8+'Proyección de ventas'!N90*Planes!$H$9)*(1+Hipótesis!$D$14)*(1+Hipótesis!$E$14)</f>
        <v/>
      </c>
      <c r="O32" s="29">
        <f>SUM(C32:N32)</f>
        <v/>
      </c>
    </row>
    <row r="33">
      <c r="B33" s="13" t="inlineStr">
        <is>
          <t>Servicio externo de inteligencia artificial (sigue al dólar)</t>
        </is>
      </c>
      <c r="C33" s="28">
        <f>('Proyección de ventas'!C80*Planes!$I$7+'Proyección de ventas'!C86*Planes!$I$8+'Proyección de ventas'!C90*Planes!$I$9)*Hipótesis!$E$9/Hipótesis!$C$9</f>
        <v/>
      </c>
      <c r="D33" s="28">
        <f>('Proyección de ventas'!D80*Planes!$I$7+'Proyección de ventas'!D86*Planes!$I$8+'Proyección de ventas'!D90*Planes!$I$9)*Hipótesis!$E$9/Hipótesis!$C$9</f>
        <v/>
      </c>
      <c r="E33" s="28">
        <f>('Proyección de ventas'!E80*Planes!$I$7+'Proyección de ventas'!E86*Planes!$I$8+'Proyección de ventas'!E90*Planes!$I$9)*Hipótesis!$E$9/Hipótesis!$C$9</f>
        <v/>
      </c>
      <c r="F33" s="28">
        <f>('Proyección de ventas'!F80*Planes!$I$7+'Proyección de ventas'!F86*Planes!$I$8+'Proyección de ventas'!F90*Planes!$I$9)*Hipótesis!$E$9/Hipótesis!$C$9</f>
        <v/>
      </c>
      <c r="G33" s="28">
        <f>('Proyección de ventas'!G80*Planes!$I$7+'Proyección de ventas'!G86*Planes!$I$8+'Proyección de ventas'!G90*Planes!$I$9)*Hipótesis!$E$9/Hipótesis!$C$9</f>
        <v/>
      </c>
      <c r="H33" s="28">
        <f>('Proyección de ventas'!H80*Planes!$I$7+'Proyección de ventas'!H86*Planes!$I$8+'Proyección de ventas'!H90*Planes!$I$9)*Hipótesis!$E$9/Hipótesis!$C$9</f>
        <v/>
      </c>
      <c r="I33" s="28">
        <f>('Proyección de ventas'!I80*Planes!$I$7+'Proyección de ventas'!I86*Planes!$I$8+'Proyección de ventas'!I90*Planes!$I$9)*Hipótesis!$E$9/Hipótesis!$C$9</f>
        <v/>
      </c>
      <c r="J33" s="28">
        <f>('Proyección de ventas'!J80*Planes!$I$7+'Proyección de ventas'!J86*Planes!$I$8+'Proyección de ventas'!J90*Planes!$I$9)*Hipótesis!$E$9/Hipótesis!$C$9</f>
        <v/>
      </c>
      <c r="K33" s="28">
        <f>('Proyección de ventas'!K80*Planes!$I$7+'Proyección de ventas'!K86*Planes!$I$8+'Proyección de ventas'!K90*Planes!$I$9)*Hipótesis!$E$9/Hipótesis!$C$9</f>
        <v/>
      </c>
      <c r="L33" s="28">
        <f>('Proyección de ventas'!L80*Planes!$I$7+'Proyección de ventas'!L86*Planes!$I$8+'Proyección de ventas'!L90*Planes!$I$9)*Hipótesis!$E$9/Hipótesis!$C$9</f>
        <v/>
      </c>
      <c r="M33" s="28">
        <f>('Proyección de ventas'!M80*Planes!$I$7+'Proyección de ventas'!M86*Planes!$I$8+'Proyección de ventas'!M90*Planes!$I$9)*Hipótesis!$E$9/Hipótesis!$C$9</f>
        <v/>
      </c>
      <c r="N33" s="28">
        <f>('Proyección de ventas'!N80*Planes!$I$7+'Proyección de ventas'!N86*Planes!$I$8+'Proyección de ventas'!N90*Planes!$I$9)*Hipótesis!$E$9/Hipótesis!$C$9</f>
        <v/>
      </c>
      <c r="O33" s="29">
        <f>SUM(C33:N33)</f>
        <v/>
      </c>
    </row>
    <row r="34">
      <c r="B34" s="20" t="inlineStr">
        <is>
          <t>Total de costos variables</t>
        </is>
      </c>
      <c r="C34" s="18">
        <f>SUM(C31:C33)</f>
        <v/>
      </c>
      <c r="D34" s="18">
        <f>SUM(D31:D33)</f>
        <v/>
      </c>
      <c r="E34" s="18">
        <f>SUM(E31:E33)</f>
        <v/>
      </c>
      <c r="F34" s="18">
        <f>SUM(F31:F33)</f>
        <v/>
      </c>
      <c r="G34" s="18">
        <f>SUM(G31:G33)</f>
        <v/>
      </c>
      <c r="H34" s="18">
        <f>SUM(H31:H33)</f>
        <v/>
      </c>
      <c r="I34" s="18">
        <f>SUM(I31:I33)</f>
        <v/>
      </c>
      <c r="J34" s="18">
        <f>SUM(J31:J33)</f>
        <v/>
      </c>
      <c r="K34" s="18">
        <f>SUM(K31:K33)</f>
        <v/>
      </c>
      <c r="L34" s="18">
        <f>SUM(L31:L33)</f>
        <v/>
      </c>
      <c r="M34" s="18">
        <f>SUM(M31:M33)</f>
        <v/>
      </c>
      <c r="N34" s="18">
        <f>SUM(N31:N33)</f>
        <v/>
      </c>
      <c r="O34" s="29">
        <f>SUM(C34:N34)</f>
        <v/>
      </c>
    </row>
    <row r="35"/>
    <row r="36"/>
    <row r="37">
      <c r="C37" s="5" t="n">
        <v>2030</v>
      </c>
    </row>
    <row r="38">
      <c r="C38" s="26" t="inlineStr">
        <is>
          <t>Ene</t>
        </is>
      </c>
      <c r="D38" s="26" t="inlineStr">
        <is>
          <t>Feb</t>
        </is>
      </c>
      <c r="E38" s="26" t="inlineStr">
        <is>
          <t>Mar</t>
        </is>
      </c>
      <c r="F38" s="26" t="inlineStr">
        <is>
          <t>Abr</t>
        </is>
      </c>
      <c r="G38" s="26" t="inlineStr">
        <is>
          <t>May</t>
        </is>
      </c>
      <c r="H38" s="26" t="inlineStr">
        <is>
          <t>Jun</t>
        </is>
      </c>
      <c r="I38" s="26" t="inlineStr">
        <is>
          <t>Jul</t>
        </is>
      </c>
      <c r="J38" s="26" t="inlineStr">
        <is>
          <t>Ago</t>
        </is>
      </c>
      <c r="K38" s="26" t="inlineStr">
        <is>
          <t>Sep</t>
        </is>
      </c>
      <c r="L38" s="26" t="inlineStr">
        <is>
          <t>Oct</t>
        </is>
      </c>
      <c r="M38" s="26" t="inlineStr">
        <is>
          <t>Nov</t>
        </is>
      </c>
      <c r="N38" s="26" t="inlineStr">
        <is>
          <t>Dic</t>
        </is>
      </c>
      <c r="O38" s="27" t="inlineStr">
        <is>
          <t>Total 2030</t>
        </is>
      </c>
    </row>
    <row r="39"/>
    <row r="40">
      <c r="B40" s="9" t="inlineStr">
        <is>
          <t>Por concepto</t>
        </is>
      </c>
      <c r="C40" s="10" t="n"/>
      <c r="D40" s="10" t="n"/>
      <c r="E40" s="10" t="n"/>
      <c r="F40" s="10" t="n"/>
      <c r="G40" s="10" t="n"/>
      <c r="H40" s="10" t="n"/>
      <c r="I40" s="10" t="n"/>
      <c r="J40" s="10" t="n"/>
      <c r="K40" s="10" t="n"/>
      <c r="L40" s="10" t="n"/>
      <c r="M40" s="10" t="n"/>
      <c r="N40" s="10" t="n"/>
      <c r="O40" s="10" t="n"/>
    </row>
    <row r="41">
      <c r="A41" s="20" t="inlineStr">
        <is>
          <t>VARIABLES</t>
        </is>
      </c>
      <c r="B41" s="13" t="inlineStr">
        <is>
          <t>Infraestructura por cliente (sigue al dólar)</t>
        </is>
      </c>
      <c r="C41" s="28">
        <f>('Proyección de ventas'!C110*Planes!$G$7+'Proyección de ventas'!C116*Planes!$G$8+'Proyección de ventas'!C120*Planes!$G$9)*Hipótesis!$F$9/Hipótesis!$C$9</f>
        <v/>
      </c>
      <c r="D41" s="28">
        <f>('Proyección de ventas'!D110*Planes!$G$7+'Proyección de ventas'!D116*Planes!$G$8+'Proyección de ventas'!D120*Planes!$G$9)*Hipótesis!$F$9/Hipótesis!$C$9</f>
        <v/>
      </c>
      <c r="E41" s="28">
        <f>('Proyección de ventas'!E110*Planes!$G$7+'Proyección de ventas'!E116*Planes!$G$8+'Proyección de ventas'!E120*Planes!$G$9)*Hipótesis!$F$9/Hipótesis!$C$9</f>
        <v/>
      </c>
      <c r="F41" s="28">
        <f>('Proyección de ventas'!F110*Planes!$G$7+'Proyección de ventas'!F116*Planes!$G$8+'Proyección de ventas'!F120*Planes!$G$9)*Hipótesis!$F$9/Hipótesis!$C$9</f>
        <v/>
      </c>
      <c r="G41" s="28">
        <f>('Proyección de ventas'!G110*Planes!$G$7+'Proyección de ventas'!G116*Planes!$G$8+'Proyección de ventas'!G120*Planes!$G$9)*Hipótesis!$F$9/Hipótesis!$C$9</f>
        <v/>
      </c>
      <c r="H41" s="28">
        <f>('Proyección de ventas'!H110*Planes!$G$7+'Proyección de ventas'!H116*Planes!$G$8+'Proyección de ventas'!H120*Planes!$G$9)*Hipótesis!$F$9/Hipótesis!$C$9</f>
        <v/>
      </c>
      <c r="I41" s="28">
        <f>('Proyección de ventas'!I110*Planes!$G$7+'Proyección de ventas'!I116*Planes!$G$8+'Proyección de ventas'!I120*Planes!$G$9)*Hipótesis!$F$9/Hipótesis!$C$9</f>
        <v/>
      </c>
      <c r="J41" s="28">
        <f>('Proyección de ventas'!J110*Planes!$G$7+'Proyección de ventas'!J116*Planes!$G$8+'Proyección de ventas'!J120*Planes!$G$9)*Hipótesis!$F$9/Hipótesis!$C$9</f>
        <v/>
      </c>
      <c r="K41" s="28">
        <f>('Proyección de ventas'!K110*Planes!$G$7+'Proyección de ventas'!K116*Planes!$G$8+'Proyección de ventas'!K120*Planes!$G$9)*Hipótesis!$F$9/Hipótesis!$C$9</f>
        <v/>
      </c>
      <c r="L41" s="28">
        <f>('Proyección de ventas'!L110*Planes!$G$7+'Proyección de ventas'!L116*Planes!$G$8+'Proyección de ventas'!L120*Planes!$G$9)*Hipótesis!$F$9/Hipótesis!$C$9</f>
        <v/>
      </c>
      <c r="M41" s="28">
        <f>('Proyección de ventas'!M110*Planes!$G$7+'Proyección de ventas'!M116*Planes!$G$8+'Proyección de ventas'!M120*Planes!$G$9)*Hipótesis!$F$9/Hipótesis!$C$9</f>
        <v/>
      </c>
      <c r="N41" s="28">
        <f>('Proyección de ventas'!N110*Planes!$G$7+'Proyección de ventas'!N116*Planes!$G$8+'Proyección de ventas'!N120*Planes!$G$9)*Hipótesis!$F$9/Hipótesis!$C$9</f>
        <v/>
      </c>
      <c r="O41" s="29">
        <f>SUM(C41:N41)</f>
        <v/>
      </c>
    </row>
    <row r="42">
      <c r="B42" s="13" t="inlineStr">
        <is>
          <t>Soporte y onboarding por cliente (sigue a los salarios)</t>
        </is>
      </c>
      <c r="C42" s="28">
        <f>('Proyección de ventas'!C110*Planes!$H$7+'Proyección de ventas'!C116*Planes!$H$8+'Proyección de ventas'!C120*Planes!$H$9)*(1+Hipótesis!$D$14)*(1+Hipótesis!$E$14)*(1+Hipótesis!$F$14)</f>
        <v/>
      </c>
      <c r="D42" s="28">
        <f>('Proyección de ventas'!D110*Planes!$H$7+'Proyección de ventas'!D116*Planes!$H$8+'Proyección de ventas'!D120*Planes!$H$9)*(1+Hipótesis!$D$14)*(1+Hipótesis!$E$14)*(1+Hipótesis!$F$14)</f>
        <v/>
      </c>
      <c r="E42" s="28">
        <f>('Proyección de ventas'!E110*Planes!$H$7+'Proyección de ventas'!E116*Planes!$H$8+'Proyección de ventas'!E120*Planes!$H$9)*(1+Hipótesis!$D$14)*(1+Hipótesis!$E$14)*(1+Hipótesis!$F$14)</f>
        <v/>
      </c>
      <c r="F42" s="28">
        <f>('Proyección de ventas'!F110*Planes!$H$7+'Proyección de ventas'!F116*Planes!$H$8+'Proyección de ventas'!F120*Planes!$H$9)*(1+Hipótesis!$D$14)*(1+Hipótesis!$E$14)*(1+Hipótesis!$F$14)</f>
        <v/>
      </c>
      <c r="G42" s="28">
        <f>('Proyección de ventas'!G110*Planes!$H$7+'Proyección de ventas'!G116*Planes!$H$8+'Proyección de ventas'!G120*Planes!$H$9)*(1+Hipótesis!$D$14)*(1+Hipótesis!$E$14)*(1+Hipótesis!$F$14)</f>
        <v/>
      </c>
      <c r="H42" s="28">
        <f>('Proyección de ventas'!H110*Planes!$H$7+'Proyección de ventas'!H116*Planes!$H$8+'Proyección de ventas'!H120*Planes!$H$9)*(1+Hipótesis!$D$14)*(1+Hipótesis!$E$14)*(1+Hipótesis!$F$14)</f>
        <v/>
      </c>
      <c r="I42" s="28">
        <f>('Proyección de ventas'!I110*Planes!$H$7+'Proyección de ventas'!I116*Planes!$H$8+'Proyección de ventas'!I120*Planes!$H$9)*(1+Hipótesis!$D$14)*(1+Hipótesis!$E$14)*(1+Hipótesis!$F$14)</f>
        <v/>
      </c>
      <c r="J42" s="28">
        <f>('Proyección de ventas'!J110*Planes!$H$7+'Proyección de ventas'!J116*Planes!$H$8+'Proyección de ventas'!J120*Planes!$H$9)*(1+Hipótesis!$D$14)*(1+Hipótesis!$E$14)*(1+Hipótesis!$F$14)</f>
        <v/>
      </c>
      <c r="K42" s="28">
        <f>('Proyección de ventas'!K110*Planes!$H$7+'Proyección de ventas'!K116*Planes!$H$8+'Proyección de ventas'!K120*Planes!$H$9)*(1+Hipótesis!$D$14)*(1+Hipótesis!$E$14)*(1+Hipótesis!$F$14)</f>
        <v/>
      </c>
      <c r="L42" s="28">
        <f>('Proyección de ventas'!L110*Planes!$H$7+'Proyección de ventas'!L116*Planes!$H$8+'Proyección de ventas'!L120*Planes!$H$9)*(1+Hipótesis!$D$14)*(1+Hipótesis!$E$14)*(1+Hipótesis!$F$14)</f>
        <v/>
      </c>
      <c r="M42" s="28">
        <f>('Proyección de ventas'!M110*Planes!$H$7+'Proyección de ventas'!M116*Planes!$H$8+'Proyección de ventas'!M120*Planes!$H$9)*(1+Hipótesis!$D$14)*(1+Hipótesis!$E$14)*(1+Hipótesis!$F$14)</f>
        <v/>
      </c>
      <c r="N42" s="28">
        <f>('Proyección de ventas'!N110*Planes!$H$7+'Proyección de ventas'!N116*Planes!$H$8+'Proyección de ventas'!N120*Planes!$H$9)*(1+Hipótesis!$D$14)*(1+Hipótesis!$E$14)*(1+Hipótesis!$F$14)</f>
        <v/>
      </c>
      <c r="O42" s="29">
        <f>SUM(C42:N42)</f>
        <v/>
      </c>
    </row>
    <row r="43">
      <c r="B43" s="13" t="inlineStr">
        <is>
          <t>Servicio externo de inteligencia artificial (sigue al dólar)</t>
        </is>
      </c>
      <c r="C43" s="28">
        <f>('Proyección de ventas'!C110*Planes!$I$7+'Proyección de ventas'!C116*Planes!$I$8+'Proyección de ventas'!C120*Planes!$I$9)*Hipótesis!$F$9/Hipótesis!$C$9</f>
        <v/>
      </c>
      <c r="D43" s="28">
        <f>('Proyección de ventas'!D110*Planes!$I$7+'Proyección de ventas'!D116*Planes!$I$8+'Proyección de ventas'!D120*Planes!$I$9)*Hipótesis!$F$9/Hipótesis!$C$9</f>
        <v/>
      </c>
      <c r="E43" s="28">
        <f>('Proyección de ventas'!E110*Planes!$I$7+'Proyección de ventas'!E116*Planes!$I$8+'Proyección de ventas'!E120*Planes!$I$9)*Hipótesis!$F$9/Hipótesis!$C$9</f>
        <v/>
      </c>
      <c r="F43" s="28">
        <f>('Proyección de ventas'!F110*Planes!$I$7+'Proyección de ventas'!F116*Planes!$I$8+'Proyección de ventas'!F120*Planes!$I$9)*Hipótesis!$F$9/Hipótesis!$C$9</f>
        <v/>
      </c>
      <c r="G43" s="28">
        <f>('Proyección de ventas'!G110*Planes!$I$7+'Proyección de ventas'!G116*Planes!$I$8+'Proyección de ventas'!G120*Planes!$I$9)*Hipótesis!$F$9/Hipótesis!$C$9</f>
        <v/>
      </c>
      <c r="H43" s="28">
        <f>('Proyección de ventas'!H110*Planes!$I$7+'Proyección de ventas'!H116*Planes!$I$8+'Proyección de ventas'!H120*Planes!$I$9)*Hipótesis!$F$9/Hipótesis!$C$9</f>
        <v/>
      </c>
      <c r="I43" s="28">
        <f>('Proyección de ventas'!I110*Planes!$I$7+'Proyección de ventas'!I116*Planes!$I$8+'Proyección de ventas'!I120*Planes!$I$9)*Hipótesis!$F$9/Hipótesis!$C$9</f>
        <v/>
      </c>
      <c r="J43" s="28">
        <f>('Proyección de ventas'!J110*Planes!$I$7+'Proyección de ventas'!J116*Planes!$I$8+'Proyección de ventas'!J120*Planes!$I$9)*Hipótesis!$F$9/Hipótesis!$C$9</f>
        <v/>
      </c>
      <c r="K43" s="28">
        <f>('Proyección de ventas'!K110*Planes!$I$7+'Proyección de ventas'!K116*Planes!$I$8+'Proyección de ventas'!K120*Planes!$I$9)*Hipótesis!$F$9/Hipótesis!$C$9</f>
        <v/>
      </c>
      <c r="L43" s="28">
        <f>('Proyección de ventas'!L110*Planes!$I$7+'Proyección de ventas'!L116*Planes!$I$8+'Proyección de ventas'!L120*Planes!$I$9)*Hipótesis!$F$9/Hipótesis!$C$9</f>
        <v/>
      </c>
      <c r="M43" s="28">
        <f>('Proyección de ventas'!M110*Planes!$I$7+'Proyección de ventas'!M116*Planes!$I$8+'Proyección de ventas'!M120*Planes!$I$9)*Hipótesis!$F$9/Hipótesis!$C$9</f>
        <v/>
      </c>
      <c r="N43" s="28">
        <f>('Proyección de ventas'!N110*Planes!$I$7+'Proyección de ventas'!N116*Planes!$I$8+'Proyección de ventas'!N120*Planes!$I$9)*Hipótesis!$F$9/Hipótesis!$C$9</f>
        <v/>
      </c>
      <c r="O43" s="29">
        <f>SUM(C43:N43)</f>
        <v/>
      </c>
    </row>
    <row r="44">
      <c r="B44" s="20" t="inlineStr">
        <is>
          <t>Total de costos variables</t>
        </is>
      </c>
      <c r="C44" s="18">
        <f>SUM(C41:C43)</f>
        <v/>
      </c>
      <c r="D44" s="18">
        <f>SUM(D41:D43)</f>
        <v/>
      </c>
      <c r="E44" s="18">
        <f>SUM(E41:E43)</f>
        <v/>
      </c>
      <c r="F44" s="18">
        <f>SUM(F41:F43)</f>
        <v/>
      </c>
      <c r="G44" s="18">
        <f>SUM(G41:G43)</f>
        <v/>
      </c>
      <c r="H44" s="18">
        <f>SUM(H41:H43)</f>
        <v/>
      </c>
      <c r="I44" s="18">
        <f>SUM(I41:I43)</f>
        <v/>
      </c>
      <c r="J44" s="18">
        <f>SUM(J41:J43)</f>
        <v/>
      </c>
      <c r="K44" s="18">
        <f>SUM(K41:K43)</f>
        <v/>
      </c>
      <c r="L44" s="18">
        <f>SUM(L41:L43)</f>
        <v/>
      </c>
      <c r="M44" s="18">
        <f>SUM(M41:M43)</f>
        <v/>
      </c>
      <c r="N44" s="18">
        <f>SUM(N41:N43)</f>
        <v/>
      </c>
      <c r="O44" s="29">
        <f>SUM(C44:N44)</f>
        <v/>
      </c>
    </row>
    <row r="45"/>
    <row r="46">
      <c r="B46" s="3" t="inlineStr">
        <is>
          <t>El costo del servicio de inteligencia artificial es el único que el sistema mide por sí mismo: cada consulta de clasificación, de asignación y de guía de reparación queda registrada, así que la estimación de la sección 6.5.3 se puede contrastar contra el consumo real.</t>
        </is>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9.xml><?xml version="1.0" encoding="utf-8"?>
<worksheet xmlns="http://schemas.openxmlformats.org/spreadsheetml/2006/main">
  <sheetPr>
    <tabColor rgb="00ED7D31"/>
    <outlinePr summaryBelow="1" summaryRight="1"/>
    <pageSetUpPr/>
  </sheetPr>
  <dimension ref="A1:U94"/>
  <sheetViews>
    <sheetView showGridLines="0" workbookViewId="0">
      <pane xSplit="2" topLeftCell="C1" activePane="topRight" state="frozen"/>
      <selection pane="topRight" activeCell="A1" sqref="A1"/>
    </sheetView>
  </sheetViews>
  <sheetFormatPr baseColWidth="8" defaultRowHeight="15"/>
  <cols>
    <col width="22" customWidth="1" min="1" max="1"/>
    <col width="4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 width="30" customWidth="1" min="17" max="17"/>
    <col width="14" customWidth="1" min="18" max="18"/>
    <col width="14" customWidth="1" min="19" max="19"/>
    <col width="14" customWidth="1" min="20" max="20"/>
    <col width="14" customWidth="1" min="21" max="21"/>
    <col width="11" customWidth="1" min="22" max="22"/>
    <col width="11" customWidth="1" min="23" max="23"/>
    <col width="11" customWidth="1" min="24" max="24"/>
    <col width="11" customWidth="1" min="25" max="25"/>
    <col width="11" customWidth="1" min="26" max="26"/>
    <col width="11" customWidth="1" min="27" max="27"/>
    <col width="14"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4"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4" customWidth="1" min="54" max="54"/>
  </cols>
  <sheetData>
    <row r="1">
      <c r="A1" s="7" t="inlineStr">
        <is>
          <t>« Inicio</t>
        </is>
      </c>
    </row>
    <row r="2" ht="24" customHeight="1">
      <c r="B2" s="8" t="inlineStr">
        <is>
          <t>COSTOS DE RRHH</t>
        </is>
      </c>
    </row>
    <row r="3">
      <c r="B3" s="3" t="inlineStr">
        <is>
          <t>Plantilla de la sección 7.6 del documento. Los cuatro roles funcionales se cubren de a poco: en las primeras etapas los socios fundadores asumen más de uno.</t>
        </is>
      </c>
      <c r="Q3" s="5" t="inlineStr">
        <is>
          <t>Resumen anual</t>
        </is>
      </c>
    </row>
    <row r="4">
      <c r="Q4" s="3" t="inlineStr">
        <is>
          <t>Los totales de cada año, que son los que alimentan el gráfico.</t>
        </is>
      </c>
    </row>
    <row r="5">
      <c r="Q5" s="20" t="inlineStr">
        <is>
          <t>Concepto</t>
        </is>
      </c>
      <c r="R5" s="11" t="n">
        <v>2027</v>
      </c>
      <c r="S5" s="11" t="n">
        <v>2028</v>
      </c>
      <c r="T5" s="11" t="n">
        <v>2029</v>
      </c>
      <c r="U5" s="11" t="n">
        <v>2030</v>
      </c>
    </row>
    <row r="6">
      <c r="B6" s="9" t="inlineStr">
        <is>
          <t>Salario bruto mensual y mes de incorporación</t>
        </is>
      </c>
      <c r="C6" s="10" t="n"/>
      <c r="D6" s="10" t="n"/>
      <c r="E6" s="10" t="n"/>
      <c r="F6" s="10" t="n"/>
      <c r="G6" s="10" t="n"/>
      <c r="H6" s="10" t="n"/>
      <c r="I6" s="10" t="n"/>
      <c r="J6" s="10" t="n"/>
      <c r="K6" s="10" t="n"/>
      <c r="L6" s="10" t="n"/>
      <c r="M6" s="10" t="n"/>
      <c r="N6" s="10" t="n"/>
      <c r="O6" s="10" t="n"/>
      <c r="Q6" s="13" t="inlineStr">
        <is>
          <t>Sueldos brutos</t>
        </is>
      </c>
      <c r="R6" s="28">
        <f>O46</f>
        <v/>
      </c>
      <c r="S6" s="28">
        <f>O61</f>
        <v/>
      </c>
      <c r="T6" s="28">
        <f>O76</f>
        <v/>
      </c>
      <c r="U6" s="28">
        <f>O91</f>
        <v/>
      </c>
    </row>
    <row r="7">
      <c r="B7" s="12" t="inlineStr">
        <is>
          <t>Rol</t>
        </is>
      </c>
      <c r="C7" s="12" t="inlineStr">
        <is>
          <t>Salario bruto</t>
        </is>
      </c>
      <c r="D7" s="12" t="inlineStr">
        <is>
          <t>Mes de alta</t>
        </is>
      </c>
      <c r="Q7" s="13" t="inlineStr">
        <is>
          <t>Cargas sociales</t>
        </is>
      </c>
      <c r="R7" s="28">
        <f>O47</f>
        <v/>
      </c>
      <c r="S7" s="28">
        <f>O62</f>
        <v/>
      </c>
      <c r="T7" s="28">
        <f>O77</f>
        <v/>
      </c>
      <c r="U7" s="28">
        <f>O92</f>
        <v/>
      </c>
    </row>
    <row r="8">
      <c r="B8" s="13" t="inlineStr">
        <is>
          <t>Responsable de Producto y Desarrollo (socio)</t>
        </is>
      </c>
      <c r="C8" s="15" t="n">
        <v>4200000</v>
      </c>
      <c r="D8" s="15" t="n">
        <v>1</v>
      </c>
      <c r="E8" s="3" t="inlineStr">
        <is>
          <t>Socio</t>
        </is>
      </c>
    </row>
    <row r="9">
      <c r="B9" s="13" t="inlineStr">
        <is>
          <t>Responsable Comercial y de Cuentas (socio)</t>
        </is>
      </c>
      <c r="C9" s="15" t="n">
        <v>3600000</v>
      </c>
      <c r="D9" s="15" t="n">
        <v>1</v>
      </c>
      <c r="E9" s="3" t="inlineStr">
        <is>
          <t>Socio</t>
        </is>
      </c>
      <c r="Q9" s="13" t="inlineStr">
        <is>
          <t>Personas en la plantilla</t>
        </is>
      </c>
      <c r="R9" s="28">
        <f>O49</f>
        <v/>
      </c>
      <c r="S9" s="28">
        <f>O64</f>
        <v/>
      </c>
      <c r="T9" s="28">
        <f>O79</f>
        <v/>
      </c>
      <c r="U9" s="28">
        <f>O94</f>
        <v/>
      </c>
    </row>
    <row r="10">
      <c r="B10" s="13" t="inlineStr">
        <is>
          <t>Responsable de Soporte y Onboarding</t>
        </is>
      </c>
      <c r="C10" s="15" t="n">
        <v>2400000</v>
      </c>
      <c r="D10" s="15" t="n">
        <v>12</v>
      </c>
      <c r="E10" s="3" t="inlineStr">
        <is>
          <t>Empleado</t>
        </is>
      </c>
    </row>
    <row r="11">
      <c r="B11" s="13" t="inlineStr">
        <is>
          <t>Colaborador de desarrollo</t>
        </is>
      </c>
      <c r="C11" s="15" t="n">
        <v>2900000</v>
      </c>
      <c r="D11" s="15" t="n">
        <v>20</v>
      </c>
      <c r="E11" s="3" t="inlineStr">
        <is>
          <t>Empleado</t>
        </is>
      </c>
    </row>
    <row r="12">
      <c r="B12" s="13" t="inlineStr">
        <is>
          <t>Responsable de Marketing y Contenidos</t>
        </is>
      </c>
      <c r="C12" s="15" t="n">
        <v>1100000</v>
      </c>
      <c r="D12" s="15" t="n">
        <v>30</v>
      </c>
      <c r="E12" s="3" t="inlineStr">
        <is>
          <t>Empleado</t>
        </is>
      </c>
    </row>
    <row r="13">
      <c r="B13" s="13" t="inlineStr">
        <is>
          <t>Segundo colaborador de soporte</t>
        </is>
      </c>
      <c r="C13" s="15" t="n">
        <v>1800000</v>
      </c>
      <c r="D13" s="15" t="n">
        <v>42</v>
      </c>
      <c r="E13" s="3" t="inlineStr">
        <is>
          <t>Empleado</t>
        </is>
      </c>
    </row>
    <row r="14"/>
    <row r="15"/>
    <row r="16">
      <c r="B16" s="9" t="inlineStr">
        <is>
          <t>Retiro de los socios como % de su salario de mercado</t>
        </is>
      </c>
      <c r="C16" s="10" t="n"/>
      <c r="D16" s="10" t="n"/>
      <c r="E16" s="10" t="n"/>
      <c r="F16" s="10" t="n"/>
      <c r="G16" s="10" t="n"/>
      <c r="H16" s="10" t="n"/>
      <c r="I16" s="10" t="n"/>
      <c r="J16" s="10" t="n"/>
      <c r="K16" s="10" t="n"/>
      <c r="L16" s="10" t="n"/>
      <c r="M16" s="10" t="n"/>
      <c r="N16" s="10" t="n"/>
      <c r="O16" s="10" t="n"/>
    </row>
    <row r="17">
      <c r="C17" s="11" t="n">
        <v>2027</v>
      </c>
      <c r="D17" s="11" t="n">
        <v>2028</v>
      </c>
      <c r="E17" s="11" t="n">
        <v>2029</v>
      </c>
      <c r="F17" s="11" t="n">
        <v>2030</v>
      </c>
    </row>
    <row r="18">
      <c r="B18" s="13" t="inlineStr">
        <is>
          <t>% del salario de mercado que retira cada socio</t>
        </is>
      </c>
      <c r="C18" s="14" t="n">
        <v>0.15</v>
      </c>
      <c r="D18" s="14" t="n">
        <v>0.35</v>
      </c>
      <c r="E18" s="14" t="n">
        <v>0.6</v>
      </c>
      <c r="F18" s="14" t="n">
        <v>1</v>
      </c>
      <c r="H18" s="3" t="inlineStr">
        <is>
          <t>Decisión propia. El año 1 es un retiro de subsistencia y supone que los socios sostienen ese año con otro ingreso; la brecha contra el 100 % es su aporte al proyecto</t>
        </is>
      </c>
    </row>
    <row r="19"/>
    <row r="20">
      <c r="B20" s="9" t="inlineStr">
        <is>
          <t>Cargas sociales sobre el salario bruto</t>
        </is>
      </c>
      <c r="C20" s="10" t="n"/>
      <c r="D20" s="10" t="n"/>
      <c r="E20" s="10" t="n"/>
      <c r="F20" s="10" t="n"/>
      <c r="G20" s="10" t="n"/>
      <c r="H20" s="10" t="n"/>
      <c r="I20" s="10" t="n"/>
      <c r="J20" s="10" t="n"/>
      <c r="K20" s="10" t="n"/>
      <c r="L20" s="10" t="n"/>
      <c r="M20" s="10" t="n"/>
      <c r="N20" s="10" t="n"/>
      <c r="O20" s="10" t="n"/>
    </row>
    <row r="21">
      <c r="B21" s="13" t="inlineStr">
        <is>
          <t>Jubilación (SIPA)</t>
        </is>
      </c>
      <c r="C21" s="38" t="n">
        <v>0.1017</v>
      </c>
      <c r="H21" s="3" t="inlineStr">
        <is>
          <t>Decreto 814/01, inciso b</t>
        </is>
      </c>
    </row>
    <row r="22">
      <c r="B22" s="13" t="inlineStr">
        <is>
          <t>PAMI (Ley 19.032)</t>
        </is>
      </c>
      <c r="C22" s="38" t="n">
        <v>0.015</v>
      </c>
      <c r="H22" s="3" t="inlineStr">
        <is>
          <t>Decreto 814/01, inciso b</t>
        </is>
      </c>
    </row>
    <row r="23">
      <c r="B23" s="13" t="inlineStr">
        <is>
          <t>Asignaciones familiares</t>
        </is>
      </c>
      <c r="C23" s="38" t="n">
        <v>0.0444</v>
      </c>
      <c r="H23" s="3" t="inlineStr">
        <is>
          <t>Decreto 814/01, inciso b</t>
        </is>
      </c>
    </row>
    <row r="24">
      <c r="B24" s="13" t="inlineStr">
        <is>
          <t>Fondo Nacional de Empleo</t>
        </is>
      </c>
      <c r="C24" s="38" t="n">
        <v>0.0089</v>
      </c>
      <c r="H24" s="3" t="inlineStr">
        <is>
          <t>Decreto 814/01, inciso b</t>
        </is>
      </c>
    </row>
    <row r="25">
      <c r="B25" s="13" t="inlineStr">
        <is>
          <t>Obra social</t>
        </is>
      </c>
      <c r="C25" s="38" t="n">
        <v>0.06</v>
      </c>
      <c r="H25" s="3" t="inlineStr">
        <is>
          <t>Ley 23.660: 6 % a cargo del empleador</t>
        </is>
      </c>
    </row>
    <row r="26">
      <c r="B26" s="13" t="inlineStr">
        <is>
          <t>ART (Ley 24.557)</t>
        </is>
      </c>
      <c r="C26" s="38" t="n">
        <v>0.035</v>
      </c>
      <c r="H26" s="3" t="inlineStr">
        <is>
          <t>Alícuota de una aseguradora para actividad de servicios informáticos, sin siniestralidad previa. Es el concepto que faltaba: sin él las cargas quedaban en 23 %</t>
        </is>
      </c>
    </row>
    <row r="27">
      <c r="B27" s="13" t="inlineStr">
        <is>
          <t>Seguro de vida obligatorio</t>
        </is>
      </c>
      <c r="C27" s="38" t="n">
        <v>0.003</v>
      </c>
      <c r="H27" s="3" t="inlineStr">
        <is>
          <t>Decreto 1567/74, suma fija llevada a porcentaje sobre la nómina del modelo</t>
        </is>
      </c>
    </row>
    <row r="28">
      <c r="B28" s="20" t="inlineStr">
        <is>
          <t>Total de cargas</t>
        </is>
      </c>
      <c r="C28" s="21">
        <f>SUM(C21:C27)</f>
        <v/>
      </c>
      <c r="H28" s="3" t="inlineStr">
        <is>
          <t>La Clase 3 ubica las contribuciones patronales entre el 25 % y el 30 % de la nómina. Con la ART y el seguro de vida el modelo cae dentro de ese rango</t>
        </is>
      </c>
    </row>
    <row r="29"/>
    <row r="30">
      <c r="B30" s="9" t="inlineStr">
        <is>
          <t>Encuadre laboral</t>
        </is>
      </c>
      <c r="C30" s="10" t="n"/>
      <c r="D30" s="10" t="n"/>
      <c r="E30" s="10" t="n"/>
      <c r="F30" s="10" t="n"/>
      <c r="G30" s="10" t="n"/>
      <c r="H30" s="10" t="n"/>
      <c r="I30" s="10" t="n"/>
      <c r="J30" s="10" t="n"/>
      <c r="K30" s="10" t="n"/>
      <c r="L30" s="10" t="n"/>
      <c r="M30" s="10" t="n"/>
      <c r="N30" s="10" t="n"/>
      <c r="O30" s="10" t="n"/>
    </row>
    <row r="31">
      <c r="B31" s="13" t="inlineStr">
        <is>
          <t>Convenio colectivo aplicable</t>
        </is>
      </c>
      <c r="C31" s="24" t="inlineStr">
        <is>
          <t>Ninguno. El personal de desarrollo y soporte de software se contrata fuera de convenio, bajo el régimen general de la Ley de Contrato de Trabajo 20.744</t>
        </is>
      </c>
    </row>
    <row r="32">
      <c r="B32" s="13" t="inlineStr">
        <is>
          <t>Por qué no aplica un CCT</t>
        </is>
      </c>
      <c r="C32" s="24" t="inlineStr">
        <is>
          <t>No existe convenio colectivo propio de la actividad del software en la Argentina. El CCT 130/75 (Empleados de Comercio) alcanzaría sólo a personal administrativo, que esta plantilla no tiene</t>
        </is>
      </c>
    </row>
    <row r="33">
      <c r="B33" s="13" t="inlineStr">
        <is>
          <t>Qué implica para el modelo</t>
        </is>
      </c>
      <c r="C33" s="24" t="inlineStr">
        <is>
          <t>Los aumentos salariales no siguen una paritaria: son política propia, y por eso el supuesto de la hoja Hipótesis los fija sobre la inflación en lugar de tomarlos de un acuerdo</t>
        </is>
      </c>
    </row>
    <row r="34">
      <c r="B34" s="13" t="inlineStr">
        <is>
          <t>Aguinaldo (SAC, Ley 23.041)</t>
        </is>
      </c>
      <c r="C34" s="24" t="inlineStr">
        <is>
          <t>Medio sueldo en junio y medio en diciembre. Está en el modelo: esos dos meses pagan 1,5 sueldos</t>
        </is>
      </c>
    </row>
    <row r="35">
      <c r="B35" s="13" t="inlineStr">
        <is>
          <t>Vacaciones</t>
        </is>
      </c>
      <c r="C35" s="24" t="inlineStr">
        <is>
          <t>No se modelan como costo aparte: el sueldo se paga igual durante la licencia y la plantilla no se reemplaza</t>
        </is>
      </c>
    </row>
    <row r="36"/>
    <row r="37">
      <c r="C37" s="5" t="n">
        <v>2027</v>
      </c>
    </row>
    <row r="38">
      <c r="C38" s="26" t="inlineStr">
        <is>
          <t>Ene</t>
        </is>
      </c>
      <c r="D38" s="26" t="inlineStr">
        <is>
          <t>Feb</t>
        </is>
      </c>
      <c r="E38" s="26" t="inlineStr">
        <is>
          <t>Mar</t>
        </is>
      </c>
      <c r="F38" s="26" t="inlineStr">
        <is>
          <t>Abr</t>
        </is>
      </c>
      <c r="G38" s="26" t="inlineStr">
        <is>
          <t>May</t>
        </is>
      </c>
      <c r="H38" s="26" t="inlineStr">
        <is>
          <t>Jun</t>
        </is>
      </c>
      <c r="I38" s="26" t="inlineStr">
        <is>
          <t>Jul</t>
        </is>
      </c>
      <c r="J38" s="26" t="inlineStr">
        <is>
          <t>Ago</t>
        </is>
      </c>
      <c r="K38" s="26" t="inlineStr">
        <is>
          <t>Sep</t>
        </is>
      </c>
      <c r="L38" s="26" t="inlineStr">
        <is>
          <t>Oct</t>
        </is>
      </c>
      <c r="M38" s="26" t="inlineStr">
        <is>
          <t>Nov</t>
        </is>
      </c>
      <c r="N38" s="26" t="inlineStr">
        <is>
          <t>Dic</t>
        </is>
      </c>
      <c r="O38" s="27" t="inlineStr">
        <is>
          <t>Total 2027</t>
        </is>
      </c>
    </row>
    <row r="39">
      <c r="B39" s="9" t="inlineStr">
        <is>
          <t>Salarios brutos por rol</t>
        </is>
      </c>
      <c r="C39" s="10" t="n"/>
      <c r="D39" s="10" t="n"/>
      <c r="E39" s="10" t="n"/>
      <c r="F39" s="10" t="n"/>
      <c r="G39" s="10" t="n"/>
      <c r="H39" s="10" t="n"/>
      <c r="I39" s="10" t="n"/>
      <c r="J39" s="10" t="n"/>
      <c r="K39" s="10" t="n"/>
      <c r="L39" s="10" t="n"/>
      <c r="M39" s="10" t="n"/>
      <c r="N39" s="10" t="n"/>
      <c r="O39" s="10" t="n"/>
    </row>
    <row r="40">
      <c r="A40" s="20" t="inlineStr">
        <is>
          <t>SUELDOS</t>
        </is>
      </c>
      <c r="B40" s="13" t="inlineStr">
        <is>
          <t>Responsable de Producto y Desarrollo (socio)</t>
        </is>
      </c>
      <c r="C40" s="28">
        <f>IF(1&lt;$D$8,0,$C$8*1*1*$C$18)</f>
        <v/>
      </c>
      <c r="D40" s="28">
        <f>IF(2&lt;$D$8,0,$C$8*1*1*$C$18)</f>
        <v/>
      </c>
      <c r="E40" s="28">
        <f>IF(3&lt;$D$8,0,$C$8*1*1*$C$18)</f>
        <v/>
      </c>
      <c r="F40" s="28">
        <f>IF(4&lt;$D$8,0,$C$8*1*1*$C$18)</f>
        <v/>
      </c>
      <c r="G40" s="28">
        <f>IF(5&lt;$D$8,0,$C$8*1*1*$C$18)</f>
        <v/>
      </c>
      <c r="H40" s="28">
        <f>IF(6&lt;$D$8,0,$C$8*1*1.5*$C$18)</f>
        <v/>
      </c>
      <c r="I40" s="28">
        <f>IF(7&lt;$D$8,0,$C$8*1*1*$C$18)</f>
        <v/>
      </c>
      <c r="J40" s="28">
        <f>IF(8&lt;$D$8,0,$C$8*1*1*$C$18)</f>
        <v/>
      </c>
      <c r="K40" s="28">
        <f>IF(9&lt;$D$8,0,$C$8*1*1*$C$18)</f>
        <v/>
      </c>
      <c r="L40" s="28">
        <f>IF(10&lt;$D$8,0,$C$8*1*1*$C$18)</f>
        <v/>
      </c>
      <c r="M40" s="28">
        <f>IF(11&lt;$D$8,0,$C$8*1*1*$C$18)</f>
        <v/>
      </c>
      <c r="N40" s="28">
        <f>IF(12&lt;$D$8,0,$C$8*1*1.5*$C$18)</f>
        <v/>
      </c>
      <c r="O40" s="29">
        <f>SUM(C40:N40)</f>
        <v/>
      </c>
    </row>
    <row r="41">
      <c r="B41" s="13" t="inlineStr">
        <is>
          <t>Responsable Comercial y de Cuentas (socio)</t>
        </is>
      </c>
      <c r="C41" s="28">
        <f>IF(1&lt;$D$9,0,$C$9*1*1*$C$18)</f>
        <v/>
      </c>
      <c r="D41" s="28">
        <f>IF(2&lt;$D$9,0,$C$9*1*1*$C$18)</f>
        <v/>
      </c>
      <c r="E41" s="28">
        <f>IF(3&lt;$D$9,0,$C$9*1*1*$C$18)</f>
        <v/>
      </c>
      <c r="F41" s="28">
        <f>IF(4&lt;$D$9,0,$C$9*1*1*$C$18)</f>
        <v/>
      </c>
      <c r="G41" s="28">
        <f>IF(5&lt;$D$9,0,$C$9*1*1*$C$18)</f>
        <v/>
      </c>
      <c r="H41" s="28">
        <f>IF(6&lt;$D$9,0,$C$9*1*1.5*$C$18)</f>
        <v/>
      </c>
      <c r="I41" s="28">
        <f>IF(7&lt;$D$9,0,$C$9*1*1*$C$18)</f>
        <v/>
      </c>
      <c r="J41" s="28">
        <f>IF(8&lt;$D$9,0,$C$9*1*1*$C$18)</f>
        <v/>
      </c>
      <c r="K41" s="28">
        <f>IF(9&lt;$D$9,0,$C$9*1*1*$C$18)</f>
        <v/>
      </c>
      <c r="L41" s="28">
        <f>IF(10&lt;$D$9,0,$C$9*1*1*$C$18)</f>
        <v/>
      </c>
      <c r="M41" s="28">
        <f>IF(11&lt;$D$9,0,$C$9*1*1*$C$18)</f>
        <v/>
      </c>
      <c r="N41" s="28">
        <f>IF(12&lt;$D$9,0,$C$9*1*1.5*$C$18)</f>
        <v/>
      </c>
      <c r="O41" s="29">
        <f>SUM(C41:N41)</f>
        <v/>
      </c>
    </row>
    <row r="42">
      <c r="B42" s="13" t="inlineStr">
        <is>
          <t>Responsable de Soporte y Onboarding</t>
        </is>
      </c>
      <c r="C42" s="28">
        <f>IF(1&lt;$D$10,0,$C$10*1*1)</f>
        <v/>
      </c>
      <c r="D42" s="28">
        <f>IF(2&lt;$D$10,0,$C$10*1*1)</f>
        <v/>
      </c>
      <c r="E42" s="28">
        <f>IF(3&lt;$D$10,0,$C$10*1*1)</f>
        <v/>
      </c>
      <c r="F42" s="28">
        <f>IF(4&lt;$D$10,0,$C$10*1*1)</f>
        <v/>
      </c>
      <c r="G42" s="28">
        <f>IF(5&lt;$D$10,0,$C$10*1*1)</f>
        <v/>
      </c>
      <c r="H42" s="28">
        <f>IF(6&lt;$D$10,0,$C$10*1*1.5)</f>
        <v/>
      </c>
      <c r="I42" s="28">
        <f>IF(7&lt;$D$10,0,$C$10*1*1)</f>
        <v/>
      </c>
      <c r="J42" s="28">
        <f>IF(8&lt;$D$10,0,$C$10*1*1)</f>
        <v/>
      </c>
      <c r="K42" s="28">
        <f>IF(9&lt;$D$10,0,$C$10*1*1)</f>
        <v/>
      </c>
      <c r="L42" s="28">
        <f>IF(10&lt;$D$10,0,$C$10*1*1)</f>
        <v/>
      </c>
      <c r="M42" s="28">
        <f>IF(11&lt;$D$10,0,$C$10*1*1)</f>
        <v/>
      </c>
      <c r="N42" s="28">
        <f>IF(12&lt;$D$10,0,$C$10*1*1.5)</f>
        <v/>
      </c>
      <c r="O42" s="29">
        <f>SUM(C42:N42)</f>
        <v/>
      </c>
    </row>
    <row r="43">
      <c r="B43" s="13" t="inlineStr">
        <is>
          <t>Colaborador de desarrollo</t>
        </is>
      </c>
      <c r="C43" s="28">
        <f>IF(1&lt;$D$11,0,$C$11*1*1)</f>
        <v/>
      </c>
      <c r="D43" s="28">
        <f>IF(2&lt;$D$11,0,$C$11*1*1)</f>
        <v/>
      </c>
      <c r="E43" s="28">
        <f>IF(3&lt;$D$11,0,$C$11*1*1)</f>
        <v/>
      </c>
      <c r="F43" s="28">
        <f>IF(4&lt;$D$11,0,$C$11*1*1)</f>
        <v/>
      </c>
      <c r="G43" s="28">
        <f>IF(5&lt;$D$11,0,$C$11*1*1)</f>
        <v/>
      </c>
      <c r="H43" s="28">
        <f>IF(6&lt;$D$11,0,$C$11*1*1.5)</f>
        <v/>
      </c>
      <c r="I43" s="28">
        <f>IF(7&lt;$D$11,0,$C$11*1*1)</f>
        <v/>
      </c>
      <c r="J43" s="28">
        <f>IF(8&lt;$D$11,0,$C$11*1*1)</f>
        <v/>
      </c>
      <c r="K43" s="28">
        <f>IF(9&lt;$D$11,0,$C$11*1*1)</f>
        <v/>
      </c>
      <c r="L43" s="28">
        <f>IF(10&lt;$D$11,0,$C$11*1*1)</f>
        <v/>
      </c>
      <c r="M43" s="28">
        <f>IF(11&lt;$D$11,0,$C$11*1*1)</f>
        <v/>
      </c>
      <c r="N43" s="28">
        <f>IF(12&lt;$D$11,0,$C$11*1*1.5)</f>
        <v/>
      </c>
      <c r="O43" s="29">
        <f>SUM(C43:N43)</f>
        <v/>
      </c>
    </row>
    <row r="44">
      <c r="B44" s="13" t="inlineStr">
        <is>
          <t>Responsable de Marketing y Contenidos</t>
        </is>
      </c>
      <c r="C44" s="28">
        <f>IF(1&lt;$D$12,0,$C$12*1*1)</f>
        <v/>
      </c>
      <c r="D44" s="28">
        <f>IF(2&lt;$D$12,0,$C$12*1*1)</f>
        <v/>
      </c>
      <c r="E44" s="28">
        <f>IF(3&lt;$D$12,0,$C$12*1*1)</f>
        <v/>
      </c>
      <c r="F44" s="28">
        <f>IF(4&lt;$D$12,0,$C$12*1*1)</f>
        <v/>
      </c>
      <c r="G44" s="28">
        <f>IF(5&lt;$D$12,0,$C$12*1*1)</f>
        <v/>
      </c>
      <c r="H44" s="28">
        <f>IF(6&lt;$D$12,0,$C$12*1*1.5)</f>
        <v/>
      </c>
      <c r="I44" s="28">
        <f>IF(7&lt;$D$12,0,$C$12*1*1)</f>
        <v/>
      </c>
      <c r="J44" s="28">
        <f>IF(8&lt;$D$12,0,$C$12*1*1)</f>
        <v/>
      </c>
      <c r="K44" s="28">
        <f>IF(9&lt;$D$12,0,$C$12*1*1)</f>
        <v/>
      </c>
      <c r="L44" s="28">
        <f>IF(10&lt;$D$12,0,$C$12*1*1)</f>
        <v/>
      </c>
      <c r="M44" s="28">
        <f>IF(11&lt;$D$12,0,$C$12*1*1)</f>
        <v/>
      </c>
      <c r="N44" s="28">
        <f>IF(12&lt;$D$12,0,$C$12*1*1.5)</f>
        <v/>
      </c>
      <c r="O44" s="29">
        <f>SUM(C44:N44)</f>
        <v/>
      </c>
    </row>
    <row r="45">
      <c r="B45" s="13" t="inlineStr">
        <is>
          <t>Segundo colaborador de soporte</t>
        </is>
      </c>
      <c r="C45" s="28">
        <f>IF(1&lt;$D$13,0,$C$13*1*1)</f>
        <v/>
      </c>
      <c r="D45" s="28">
        <f>IF(2&lt;$D$13,0,$C$13*1*1)</f>
        <v/>
      </c>
      <c r="E45" s="28">
        <f>IF(3&lt;$D$13,0,$C$13*1*1)</f>
        <v/>
      </c>
      <c r="F45" s="28">
        <f>IF(4&lt;$D$13,0,$C$13*1*1)</f>
        <v/>
      </c>
      <c r="G45" s="28">
        <f>IF(5&lt;$D$13,0,$C$13*1*1)</f>
        <v/>
      </c>
      <c r="H45" s="28">
        <f>IF(6&lt;$D$13,0,$C$13*1*1.5)</f>
        <v/>
      </c>
      <c r="I45" s="28">
        <f>IF(7&lt;$D$13,0,$C$13*1*1)</f>
        <v/>
      </c>
      <c r="J45" s="28">
        <f>IF(8&lt;$D$13,0,$C$13*1*1)</f>
        <v/>
      </c>
      <c r="K45" s="28">
        <f>IF(9&lt;$D$13,0,$C$13*1*1)</f>
        <v/>
      </c>
      <c r="L45" s="28">
        <f>IF(10&lt;$D$13,0,$C$13*1*1)</f>
        <v/>
      </c>
      <c r="M45" s="28">
        <f>IF(11&lt;$D$13,0,$C$13*1*1)</f>
        <v/>
      </c>
      <c r="N45" s="28">
        <f>IF(12&lt;$D$13,0,$C$13*1*1.5)</f>
        <v/>
      </c>
      <c r="O45" s="29">
        <f>SUM(C45:N45)</f>
        <v/>
      </c>
    </row>
    <row r="46">
      <c r="B46" s="20" t="inlineStr">
        <is>
          <t>Total de salarios brutos</t>
        </is>
      </c>
      <c r="C46" s="18">
        <f>SUM(C40:C45)</f>
        <v/>
      </c>
      <c r="D46" s="18">
        <f>SUM(D40:D45)</f>
        <v/>
      </c>
      <c r="E46" s="18">
        <f>SUM(E40:E45)</f>
        <v/>
      </c>
      <c r="F46" s="18">
        <f>SUM(F40:F45)</f>
        <v/>
      </c>
      <c r="G46" s="18">
        <f>SUM(G40:G45)</f>
        <v/>
      </c>
      <c r="H46" s="18">
        <f>SUM(H40:H45)</f>
        <v/>
      </c>
      <c r="I46" s="18">
        <f>SUM(I40:I45)</f>
        <v/>
      </c>
      <c r="J46" s="18">
        <f>SUM(J40:J45)</f>
        <v/>
      </c>
      <c r="K46" s="18">
        <f>SUM(K40:K45)</f>
        <v/>
      </c>
      <c r="L46" s="18">
        <f>SUM(L40:L45)</f>
        <v/>
      </c>
      <c r="M46" s="18">
        <f>SUM(M40:M45)</f>
        <v/>
      </c>
      <c r="N46" s="18">
        <f>SUM(N40:N45)</f>
        <v/>
      </c>
      <c r="O46" s="29">
        <f>SUM(C46:N46)</f>
        <v/>
      </c>
    </row>
    <row r="47">
      <c r="B47" s="13" t="inlineStr">
        <is>
          <t xml:space="preserve">    Cargas sociales</t>
        </is>
      </c>
      <c r="C47" s="28">
        <f>C46*$C$28</f>
        <v/>
      </c>
      <c r="D47" s="28">
        <f>D46*$C$28</f>
        <v/>
      </c>
      <c r="E47" s="28">
        <f>E46*$C$28</f>
        <v/>
      </c>
      <c r="F47" s="28">
        <f>F46*$C$28</f>
        <v/>
      </c>
      <c r="G47" s="28">
        <f>G46*$C$28</f>
        <v/>
      </c>
      <c r="H47" s="28">
        <f>H46*$C$28</f>
        <v/>
      </c>
      <c r="I47" s="28">
        <f>I46*$C$28</f>
        <v/>
      </c>
      <c r="J47" s="28">
        <f>J46*$C$28</f>
        <v/>
      </c>
      <c r="K47" s="28">
        <f>K46*$C$28</f>
        <v/>
      </c>
      <c r="L47" s="28">
        <f>L46*$C$28</f>
        <v/>
      </c>
      <c r="M47" s="28">
        <f>M46*$C$28</f>
        <v/>
      </c>
      <c r="N47" s="28">
        <f>N46*$C$28</f>
        <v/>
      </c>
      <c r="O47" s="29">
        <f>SUM(C47:N47)</f>
        <v/>
      </c>
    </row>
    <row r="48">
      <c r="A48" s="20" t="inlineStr">
        <is>
          <t>TOTAL</t>
        </is>
      </c>
      <c r="B48" s="20" t="inlineStr">
        <is>
          <t>Costo total de RRHH</t>
        </is>
      </c>
      <c r="C48" s="18">
        <f>C46+C47</f>
        <v/>
      </c>
      <c r="D48" s="18">
        <f>D46+D47</f>
        <v/>
      </c>
      <c r="E48" s="18">
        <f>E46+E47</f>
        <v/>
      </c>
      <c r="F48" s="18">
        <f>F46+F47</f>
        <v/>
      </c>
      <c r="G48" s="18">
        <f>G46+G47</f>
        <v/>
      </c>
      <c r="H48" s="18">
        <f>H46+H47</f>
        <v/>
      </c>
      <c r="I48" s="18">
        <f>I46+I47</f>
        <v/>
      </c>
      <c r="J48" s="18">
        <f>J46+J47</f>
        <v/>
      </c>
      <c r="K48" s="18">
        <f>K46+K47</f>
        <v/>
      </c>
      <c r="L48" s="18">
        <f>L46+L47</f>
        <v/>
      </c>
      <c r="M48" s="18">
        <f>M46+M47</f>
        <v/>
      </c>
      <c r="N48" s="18">
        <f>N46+N47</f>
        <v/>
      </c>
      <c r="O48" s="29">
        <f>SUM(C48:N48)</f>
        <v/>
      </c>
    </row>
    <row r="49">
      <c r="B49" s="13" t="inlineStr">
        <is>
          <t xml:space="preserve">    Personas en la plantilla</t>
        </is>
      </c>
      <c r="C49" s="28">
        <f>COUNTIF(C40:C45,"&gt;0")</f>
        <v/>
      </c>
      <c r="D49" s="28">
        <f>COUNTIF(D40:D45,"&gt;0")</f>
        <v/>
      </c>
      <c r="E49" s="28">
        <f>COUNTIF(E40:E45,"&gt;0")</f>
        <v/>
      </c>
      <c r="F49" s="28">
        <f>COUNTIF(F40:F45,"&gt;0")</f>
        <v/>
      </c>
      <c r="G49" s="28">
        <f>COUNTIF(G40:G45,"&gt;0")</f>
        <v/>
      </c>
      <c r="H49" s="28">
        <f>COUNTIF(H40:H45,"&gt;0")</f>
        <v/>
      </c>
      <c r="I49" s="28">
        <f>COUNTIF(I40:I45,"&gt;0")</f>
        <v/>
      </c>
      <c r="J49" s="28">
        <f>COUNTIF(J40:J45,"&gt;0")</f>
        <v/>
      </c>
      <c r="K49" s="28">
        <f>COUNTIF(K40:K45,"&gt;0")</f>
        <v/>
      </c>
      <c r="L49" s="28">
        <f>COUNTIF(L40:L45,"&gt;0")</f>
        <v/>
      </c>
      <c r="M49" s="28">
        <f>COUNTIF(M40:M45,"&gt;0")</f>
        <v/>
      </c>
      <c r="N49" s="28">
        <f>COUNTIF(N40:N45,"&gt;0")</f>
        <v/>
      </c>
      <c r="O49" s="29">
        <f>N49</f>
        <v/>
      </c>
    </row>
    <row r="50"/>
    <row r="51"/>
    <row r="52">
      <c r="C52" s="5" t="n">
        <v>2028</v>
      </c>
    </row>
    <row r="53">
      <c r="C53" s="26" t="inlineStr">
        <is>
          <t>Ene</t>
        </is>
      </c>
      <c r="D53" s="26" t="inlineStr">
        <is>
          <t>Feb</t>
        </is>
      </c>
      <c r="E53" s="26" t="inlineStr">
        <is>
          <t>Mar</t>
        </is>
      </c>
      <c r="F53" s="26" t="inlineStr">
        <is>
          <t>Abr</t>
        </is>
      </c>
      <c r="G53" s="26" t="inlineStr">
        <is>
          <t>May</t>
        </is>
      </c>
      <c r="H53" s="26" t="inlineStr">
        <is>
          <t>Jun</t>
        </is>
      </c>
      <c r="I53" s="26" t="inlineStr">
        <is>
          <t>Jul</t>
        </is>
      </c>
      <c r="J53" s="26" t="inlineStr">
        <is>
          <t>Ago</t>
        </is>
      </c>
      <c r="K53" s="26" t="inlineStr">
        <is>
          <t>Sep</t>
        </is>
      </c>
      <c r="L53" s="26" t="inlineStr">
        <is>
          <t>Oct</t>
        </is>
      </c>
      <c r="M53" s="26" t="inlineStr">
        <is>
          <t>Nov</t>
        </is>
      </c>
      <c r="N53" s="26" t="inlineStr">
        <is>
          <t>Dic</t>
        </is>
      </c>
      <c r="O53" s="27" t="inlineStr">
        <is>
          <t>Total 2028</t>
        </is>
      </c>
    </row>
    <row r="54">
      <c r="B54" s="9" t="inlineStr">
        <is>
          <t>Salarios brutos por rol</t>
        </is>
      </c>
      <c r="C54" s="10" t="n"/>
      <c r="D54" s="10" t="n"/>
      <c r="E54" s="10" t="n"/>
      <c r="F54" s="10" t="n"/>
      <c r="G54" s="10" t="n"/>
      <c r="H54" s="10" t="n"/>
      <c r="I54" s="10" t="n"/>
      <c r="J54" s="10" t="n"/>
      <c r="K54" s="10" t="n"/>
      <c r="L54" s="10" t="n"/>
      <c r="M54" s="10" t="n"/>
      <c r="N54" s="10" t="n"/>
      <c r="O54" s="10" t="n"/>
    </row>
    <row r="55">
      <c r="A55" s="20" t="inlineStr">
        <is>
          <t>SUELDOS</t>
        </is>
      </c>
      <c r="B55" s="13" t="inlineStr">
        <is>
          <t>Responsable de Producto y Desarrollo (socio)</t>
        </is>
      </c>
      <c r="C55" s="28">
        <f>IF(13&lt;$D$8,0,$C$8*(1+Hipótesis!$D$14)*1*$D$18)</f>
        <v/>
      </c>
      <c r="D55" s="28">
        <f>IF(14&lt;$D$8,0,$C$8*(1+Hipótesis!$D$14)*1*$D$18)</f>
        <v/>
      </c>
      <c r="E55" s="28">
        <f>IF(15&lt;$D$8,0,$C$8*(1+Hipótesis!$D$14)*1*$D$18)</f>
        <v/>
      </c>
      <c r="F55" s="28">
        <f>IF(16&lt;$D$8,0,$C$8*(1+Hipótesis!$D$14)*1*$D$18)</f>
        <v/>
      </c>
      <c r="G55" s="28">
        <f>IF(17&lt;$D$8,0,$C$8*(1+Hipótesis!$D$14)*1*$D$18)</f>
        <v/>
      </c>
      <c r="H55" s="28">
        <f>IF(18&lt;$D$8,0,$C$8*(1+Hipótesis!$D$14)*1.5*$D$18)</f>
        <v/>
      </c>
      <c r="I55" s="28">
        <f>IF(19&lt;$D$8,0,$C$8*(1+Hipótesis!$D$14)*1*$D$18)</f>
        <v/>
      </c>
      <c r="J55" s="28">
        <f>IF(20&lt;$D$8,0,$C$8*(1+Hipótesis!$D$14)*1*$D$18)</f>
        <v/>
      </c>
      <c r="K55" s="28">
        <f>IF(21&lt;$D$8,0,$C$8*(1+Hipótesis!$D$14)*1*$D$18)</f>
        <v/>
      </c>
      <c r="L55" s="28">
        <f>IF(22&lt;$D$8,0,$C$8*(1+Hipótesis!$D$14)*1*$D$18)</f>
        <v/>
      </c>
      <c r="M55" s="28">
        <f>IF(23&lt;$D$8,0,$C$8*(1+Hipótesis!$D$14)*1*$D$18)</f>
        <v/>
      </c>
      <c r="N55" s="28">
        <f>IF(24&lt;$D$8,0,$C$8*(1+Hipótesis!$D$14)*1.5*$D$18)</f>
        <v/>
      </c>
      <c r="O55" s="29">
        <f>SUM(C55:N55)</f>
        <v/>
      </c>
    </row>
    <row r="56">
      <c r="B56" s="13" t="inlineStr">
        <is>
          <t>Responsable Comercial y de Cuentas (socio)</t>
        </is>
      </c>
      <c r="C56" s="28">
        <f>IF(13&lt;$D$9,0,$C$9*(1+Hipótesis!$D$14)*1*$D$18)</f>
        <v/>
      </c>
      <c r="D56" s="28">
        <f>IF(14&lt;$D$9,0,$C$9*(1+Hipótesis!$D$14)*1*$D$18)</f>
        <v/>
      </c>
      <c r="E56" s="28">
        <f>IF(15&lt;$D$9,0,$C$9*(1+Hipótesis!$D$14)*1*$D$18)</f>
        <v/>
      </c>
      <c r="F56" s="28">
        <f>IF(16&lt;$D$9,0,$C$9*(1+Hipótesis!$D$14)*1*$D$18)</f>
        <v/>
      </c>
      <c r="G56" s="28">
        <f>IF(17&lt;$D$9,0,$C$9*(1+Hipótesis!$D$14)*1*$D$18)</f>
        <v/>
      </c>
      <c r="H56" s="28">
        <f>IF(18&lt;$D$9,0,$C$9*(1+Hipótesis!$D$14)*1.5*$D$18)</f>
        <v/>
      </c>
      <c r="I56" s="28">
        <f>IF(19&lt;$D$9,0,$C$9*(1+Hipótesis!$D$14)*1*$D$18)</f>
        <v/>
      </c>
      <c r="J56" s="28">
        <f>IF(20&lt;$D$9,0,$C$9*(1+Hipótesis!$D$14)*1*$D$18)</f>
        <v/>
      </c>
      <c r="K56" s="28">
        <f>IF(21&lt;$D$9,0,$C$9*(1+Hipótesis!$D$14)*1*$D$18)</f>
        <v/>
      </c>
      <c r="L56" s="28">
        <f>IF(22&lt;$D$9,0,$C$9*(1+Hipótesis!$D$14)*1*$D$18)</f>
        <v/>
      </c>
      <c r="M56" s="28">
        <f>IF(23&lt;$D$9,0,$C$9*(1+Hipótesis!$D$14)*1*$D$18)</f>
        <v/>
      </c>
      <c r="N56" s="28">
        <f>IF(24&lt;$D$9,0,$C$9*(1+Hipótesis!$D$14)*1.5*$D$18)</f>
        <v/>
      </c>
      <c r="O56" s="29">
        <f>SUM(C56:N56)</f>
        <v/>
      </c>
    </row>
    <row r="57">
      <c r="B57" s="13" t="inlineStr">
        <is>
          <t>Responsable de Soporte y Onboarding</t>
        </is>
      </c>
      <c r="C57" s="28">
        <f>IF(13&lt;$D$10,0,$C$10*(1+Hipótesis!$D$14)*1)</f>
        <v/>
      </c>
      <c r="D57" s="28">
        <f>IF(14&lt;$D$10,0,$C$10*(1+Hipótesis!$D$14)*1)</f>
        <v/>
      </c>
      <c r="E57" s="28">
        <f>IF(15&lt;$D$10,0,$C$10*(1+Hipótesis!$D$14)*1)</f>
        <v/>
      </c>
      <c r="F57" s="28">
        <f>IF(16&lt;$D$10,0,$C$10*(1+Hipótesis!$D$14)*1)</f>
        <v/>
      </c>
      <c r="G57" s="28">
        <f>IF(17&lt;$D$10,0,$C$10*(1+Hipótesis!$D$14)*1)</f>
        <v/>
      </c>
      <c r="H57" s="28">
        <f>IF(18&lt;$D$10,0,$C$10*(1+Hipótesis!$D$14)*1.5)</f>
        <v/>
      </c>
      <c r="I57" s="28">
        <f>IF(19&lt;$D$10,0,$C$10*(1+Hipótesis!$D$14)*1)</f>
        <v/>
      </c>
      <c r="J57" s="28">
        <f>IF(20&lt;$D$10,0,$C$10*(1+Hipótesis!$D$14)*1)</f>
        <v/>
      </c>
      <c r="K57" s="28">
        <f>IF(21&lt;$D$10,0,$C$10*(1+Hipótesis!$D$14)*1)</f>
        <v/>
      </c>
      <c r="L57" s="28">
        <f>IF(22&lt;$D$10,0,$C$10*(1+Hipótesis!$D$14)*1)</f>
        <v/>
      </c>
      <c r="M57" s="28">
        <f>IF(23&lt;$D$10,0,$C$10*(1+Hipótesis!$D$14)*1)</f>
        <v/>
      </c>
      <c r="N57" s="28">
        <f>IF(24&lt;$D$10,0,$C$10*(1+Hipótesis!$D$14)*1.5)</f>
        <v/>
      </c>
      <c r="O57" s="29">
        <f>SUM(C57:N57)</f>
        <v/>
      </c>
    </row>
    <row r="58">
      <c r="B58" s="13" t="inlineStr">
        <is>
          <t>Colaborador de desarrollo</t>
        </is>
      </c>
      <c r="C58" s="28">
        <f>IF(13&lt;$D$11,0,$C$11*(1+Hipótesis!$D$14)*1)</f>
        <v/>
      </c>
      <c r="D58" s="28">
        <f>IF(14&lt;$D$11,0,$C$11*(1+Hipótesis!$D$14)*1)</f>
        <v/>
      </c>
      <c r="E58" s="28">
        <f>IF(15&lt;$D$11,0,$C$11*(1+Hipótesis!$D$14)*1)</f>
        <v/>
      </c>
      <c r="F58" s="28">
        <f>IF(16&lt;$D$11,0,$C$11*(1+Hipótesis!$D$14)*1)</f>
        <v/>
      </c>
      <c r="G58" s="28">
        <f>IF(17&lt;$D$11,0,$C$11*(1+Hipótesis!$D$14)*1)</f>
        <v/>
      </c>
      <c r="H58" s="28">
        <f>IF(18&lt;$D$11,0,$C$11*(1+Hipótesis!$D$14)*1.5)</f>
        <v/>
      </c>
      <c r="I58" s="28">
        <f>IF(19&lt;$D$11,0,$C$11*(1+Hipótesis!$D$14)*1)</f>
        <v/>
      </c>
      <c r="J58" s="28">
        <f>IF(20&lt;$D$11,0,$C$11*(1+Hipótesis!$D$14)*1)</f>
        <v/>
      </c>
      <c r="K58" s="28">
        <f>IF(21&lt;$D$11,0,$C$11*(1+Hipótesis!$D$14)*1)</f>
        <v/>
      </c>
      <c r="L58" s="28">
        <f>IF(22&lt;$D$11,0,$C$11*(1+Hipótesis!$D$14)*1)</f>
        <v/>
      </c>
      <c r="M58" s="28">
        <f>IF(23&lt;$D$11,0,$C$11*(1+Hipótesis!$D$14)*1)</f>
        <v/>
      </c>
      <c r="N58" s="28">
        <f>IF(24&lt;$D$11,0,$C$11*(1+Hipótesis!$D$14)*1.5)</f>
        <v/>
      </c>
      <c r="O58" s="29">
        <f>SUM(C58:N58)</f>
        <v/>
      </c>
    </row>
    <row r="59">
      <c r="B59" s="13" t="inlineStr">
        <is>
          <t>Responsable de Marketing y Contenidos</t>
        </is>
      </c>
      <c r="C59" s="28">
        <f>IF(13&lt;$D$12,0,$C$12*(1+Hipótesis!$D$14)*1)</f>
        <v/>
      </c>
      <c r="D59" s="28">
        <f>IF(14&lt;$D$12,0,$C$12*(1+Hipótesis!$D$14)*1)</f>
        <v/>
      </c>
      <c r="E59" s="28">
        <f>IF(15&lt;$D$12,0,$C$12*(1+Hipótesis!$D$14)*1)</f>
        <v/>
      </c>
      <c r="F59" s="28">
        <f>IF(16&lt;$D$12,0,$C$12*(1+Hipótesis!$D$14)*1)</f>
        <v/>
      </c>
      <c r="G59" s="28">
        <f>IF(17&lt;$D$12,0,$C$12*(1+Hipótesis!$D$14)*1)</f>
        <v/>
      </c>
      <c r="H59" s="28">
        <f>IF(18&lt;$D$12,0,$C$12*(1+Hipótesis!$D$14)*1.5)</f>
        <v/>
      </c>
      <c r="I59" s="28">
        <f>IF(19&lt;$D$12,0,$C$12*(1+Hipótesis!$D$14)*1)</f>
        <v/>
      </c>
      <c r="J59" s="28">
        <f>IF(20&lt;$D$12,0,$C$12*(1+Hipótesis!$D$14)*1)</f>
        <v/>
      </c>
      <c r="K59" s="28">
        <f>IF(21&lt;$D$12,0,$C$12*(1+Hipótesis!$D$14)*1)</f>
        <v/>
      </c>
      <c r="L59" s="28">
        <f>IF(22&lt;$D$12,0,$C$12*(1+Hipótesis!$D$14)*1)</f>
        <v/>
      </c>
      <c r="M59" s="28">
        <f>IF(23&lt;$D$12,0,$C$12*(1+Hipótesis!$D$14)*1)</f>
        <v/>
      </c>
      <c r="N59" s="28">
        <f>IF(24&lt;$D$12,0,$C$12*(1+Hipótesis!$D$14)*1.5)</f>
        <v/>
      </c>
      <c r="O59" s="29">
        <f>SUM(C59:N59)</f>
        <v/>
      </c>
    </row>
    <row r="60">
      <c r="B60" s="13" t="inlineStr">
        <is>
          <t>Segundo colaborador de soporte</t>
        </is>
      </c>
      <c r="C60" s="28">
        <f>IF(13&lt;$D$13,0,$C$13*(1+Hipótesis!$D$14)*1)</f>
        <v/>
      </c>
      <c r="D60" s="28">
        <f>IF(14&lt;$D$13,0,$C$13*(1+Hipótesis!$D$14)*1)</f>
        <v/>
      </c>
      <c r="E60" s="28">
        <f>IF(15&lt;$D$13,0,$C$13*(1+Hipótesis!$D$14)*1)</f>
        <v/>
      </c>
      <c r="F60" s="28">
        <f>IF(16&lt;$D$13,0,$C$13*(1+Hipótesis!$D$14)*1)</f>
        <v/>
      </c>
      <c r="G60" s="28">
        <f>IF(17&lt;$D$13,0,$C$13*(1+Hipótesis!$D$14)*1)</f>
        <v/>
      </c>
      <c r="H60" s="28">
        <f>IF(18&lt;$D$13,0,$C$13*(1+Hipótesis!$D$14)*1.5)</f>
        <v/>
      </c>
      <c r="I60" s="28">
        <f>IF(19&lt;$D$13,0,$C$13*(1+Hipótesis!$D$14)*1)</f>
        <v/>
      </c>
      <c r="J60" s="28">
        <f>IF(20&lt;$D$13,0,$C$13*(1+Hipótesis!$D$14)*1)</f>
        <v/>
      </c>
      <c r="K60" s="28">
        <f>IF(21&lt;$D$13,0,$C$13*(1+Hipótesis!$D$14)*1)</f>
        <v/>
      </c>
      <c r="L60" s="28">
        <f>IF(22&lt;$D$13,0,$C$13*(1+Hipótesis!$D$14)*1)</f>
        <v/>
      </c>
      <c r="M60" s="28">
        <f>IF(23&lt;$D$13,0,$C$13*(1+Hipótesis!$D$14)*1)</f>
        <v/>
      </c>
      <c r="N60" s="28">
        <f>IF(24&lt;$D$13,0,$C$13*(1+Hipótesis!$D$14)*1.5)</f>
        <v/>
      </c>
      <c r="O60" s="29">
        <f>SUM(C60:N60)</f>
        <v/>
      </c>
    </row>
    <row r="61">
      <c r="B61" s="20" t="inlineStr">
        <is>
          <t>Total de salarios brutos</t>
        </is>
      </c>
      <c r="C61" s="18">
        <f>SUM(C55:C60)</f>
        <v/>
      </c>
      <c r="D61" s="18">
        <f>SUM(D55:D60)</f>
        <v/>
      </c>
      <c r="E61" s="18">
        <f>SUM(E55:E60)</f>
        <v/>
      </c>
      <c r="F61" s="18">
        <f>SUM(F55:F60)</f>
        <v/>
      </c>
      <c r="G61" s="18">
        <f>SUM(G55:G60)</f>
        <v/>
      </c>
      <c r="H61" s="18">
        <f>SUM(H55:H60)</f>
        <v/>
      </c>
      <c r="I61" s="18">
        <f>SUM(I55:I60)</f>
        <v/>
      </c>
      <c r="J61" s="18">
        <f>SUM(J55:J60)</f>
        <v/>
      </c>
      <c r="K61" s="18">
        <f>SUM(K55:K60)</f>
        <v/>
      </c>
      <c r="L61" s="18">
        <f>SUM(L55:L60)</f>
        <v/>
      </c>
      <c r="M61" s="18">
        <f>SUM(M55:M60)</f>
        <v/>
      </c>
      <c r="N61" s="18">
        <f>SUM(N55:N60)</f>
        <v/>
      </c>
      <c r="O61" s="29">
        <f>SUM(C61:N61)</f>
        <v/>
      </c>
    </row>
    <row r="62">
      <c r="B62" s="13" t="inlineStr">
        <is>
          <t xml:space="preserve">    Cargas sociales</t>
        </is>
      </c>
      <c r="C62" s="28">
        <f>C61*$C$28</f>
        <v/>
      </c>
      <c r="D62" s="28">
        <f>D61*$C$28</f>
        <v/>
      </c>
      <c r="E62" s="28">
        <f>E61*$C$28</f>
        <v/>
      </c>
      <c r="F62" s="28">
        <f>F61*$C$28</f>
        <v/>
      </c>
      <c r="G62" s="28">
        <f>G61*$C$28</f>
        <v/>
      </c>
      <c r="H62" s="28">
        <f>H61*$C$28</f>
        <v/>
      </c>
      <c r="I62" s="28">
        <f>I61*$C$28</f>
        <v/>
      </c>
      <c r="J62" s="28">
        <f>J61*$C$28</f>
        <v/>
      </c>
      <c r="K62" s="28">
        <f>K61*$C$28</f>
        <v/>
      </c>
      <c r="L62" s="28">
        <f>L61*$C$28</f>
        <v/>
      </c>
      <c r="M62" s="28">
        <f>M61*$C$28</f>
        <v/>
      </c>
      <c r="N62" s="28">
        <f>N61*$C$28</f>
        <v/>
      </c>
      <c r="O62" s="29">
        <f>SUM(C62:N62)</f>
        <v/>
      </c>
    </row>
    <row r="63">
      <c r="A63" s="20" t="inlineStr">
        <is>
          <t>TOTAL</t>
        </is>
      </c>
      <c r="B63" s="20" t="inlineStr">
        <is>
          <t>Costo total de RRHH</t>
        </is>
      </c>
      <c r="C63" s="18">
        <f>C61+C62</f>
        <v/>
      </c>
      <c r="D63" s="18">
        <f>D61+D62</f>
        <v/>
      </c>
      <c r="E63" s="18">
        <f>E61+E62</f>
        <v/>
      </c>
      <c r="F63" s="18">
        <f>F61+F62</f>
        <v/>
      </c>
      <c r="G63" s="18">
        <f>G61+G62</f>
        <v/>
      </c>
      <c r="H63" s="18">
        <f>H61+H62</f>
        <v/>
      </c>
      <c r="I63" s="18">
        <f>I61+I62</f>
        <v/>
      </c>
      <c r="J63" s="18">
        <f>J61+J62</f>
        <v/>
      </c>
      <c r="K63" s="18">
        <f>K61+K62</f>
        <v/>
      </c>
      <c r="L63" s="18">
        <f>L61+L62</f>
        <v/>
      </c>
      <c r="M63" s="18">
        <f>M61+M62</f>
        <v/>
      </c>
      <c r="N63" s="18">
        <f>N61+N62</f>
        <v/>
      </c>
      <c r="O63" s="29">
        <f>SUM(C63:N63)</f>
        <v/>
      </c>
    </row>
    <row r="64">
      <c r="B64" s="13" t="inlineStr">
        <is>
          <t xml:space="preserve">    Personas en la plantilla</t>
        </is>
      </c>
      <c r="C64" s="28">
        <f>COUNTIF(C55:C60,"&gt;0")</f>
        <v/>
      </c>
      <c r="D64" s="28">
        <f>COUNTIF(D55:D60,"&gt;0")</f>
        <v/>
      </c>
      <c r="E64" s="28">
        <f>COUNTIF(E55:E60,"&gt;0")</f>
        <v/>
      </c>
      <c r="F64" s="28">
        <f>COUNTIF(F55:F60,"&gt;0")</f>
        <v/>
      </c>
      <c r="G64" s="28">
        <f>COUNTIF(G55:G60,"&gt;0")</f>
        <v/>
      </c>
      <c r="H64" s="28">
        <f>COUNTIF(H55:H60,"&gt;0")</f>
        <v/>
      </c>
      <c r="I64" s="28">
        <f>COUNTIF(I55:I60,"&gt;0")</f>
        <v/>
      </c>
      <c r="J64" s="28">
        <f>COUNTIF(J55:J60,"&gt;0")</f>
        <v/>
      </c>
      <c r="K64" s="28">
        <f>COUNTIF(K55:K60,"&gt;0")</f>
        <v/>
      </c>
      <c r="L64" s="28">
        <f>COUNTIF(L55:L60,"&gt;0")</f>
        <v/>
      </c>
      <c r="M64" s="28">
        <f>COUNTIF(M55:M60,"&gt;0")</f>
        <v/>
      </c>
      <c r="N64" s="28">
        <f>COUNTIF(N55:N60,"&gt;0")</f>
        <v/>
      </c>
      <c r="O64" s="29">
        <f>N64</f>
        <v/>
      </c>
    </row>
    <row r="65"/>
    <row r="66"/>
    <row r="67">
      <c r="C67" s="5" t="n">
        <v>2029</v>
      </c>
    </row>
    <row r="68">
      <c r="C68" s="26" t="inlineStr">
        <is>
          <t>Ene</t>
        </is>
      </c>
      <c r="D68" s="26" t="inlineStr">
        <is>
          <t>Feb</t>
        </is>
      </c>
      <c r="E68" s="26" t="inlineStr">
        <is>
          <t>Mar</t>
        </is>
      </c>
      <c r="F68" s="26" t="inlineStr">
        <is>
          <t>Abr</t>
        </is>
      </c>
      <c r="G68" s="26" t="inlineStr">
        <is>
          <t>May</t>
        </is>
      </c>
      <c r="H68" s="26" t="inlineStr">
        <is>
          <t>Jun</t>
        </is>
      </c>
      <c r="I68" s="26" t="inlineStr">
        <is>
          <t>Jul</t>
        </is>
      </c>
      <c r="J68" s="26" t="inlineStr">
        <is>
          <t>Ago</t>
        </is>
      </c>
      <c r="K68" s="26" t="inlineStr">
        <is>
          <t>Sep</t>
        </is>
      </c>
      <c r="L68" s="26" t="inlineStr">
        <is>
          <t>Oct</t>
        </is>
      </c>
      <c r="M68" s="26" t="inlineStr">
        <is>
          <t>Nov</t>
        </is>
      </c>
      <c r="N68" s="26" t="inlineStr">
        <is>
          <t>Dic</t>
        </is>
      </c>
      <c r="O68" s="27" t="inlineStr">
        <is>
          <t>Total 2029</t>
        </is>
      </c>
    </row>
    <row r="69">
      <c r="B69" s="9" t="inlineStr">
        <is>
          <t>Salarios brutos por rol</t>
        </is>
      </c>
      <c r="C69" s="10" t="n"/>
      <c r="D69" s="10" t="n"/>
      <c r="E69" s="10" t="n"/>
      <c r="F69" s="10" t="n"/>
      <c r="G69" s="10" t="n"/>
      <c r="H69" s="10" t="n"/>
      <c r="I69" s="10" t="n"/>
      <c r="J69" s="10" t="n"/>
      <c r="K69" s="10" t="n"/>
      <c r="L69" s="10" t="n"/>
      <c r="M69" s="10" t="n"/>
      <c r="N69" s="10" t="n"/>
      <c r="O69" s="10" t="n"/>
    </row>
    <row r="70">
      <c r="A70" s="20" t="inlineStr">
        <is>
          <t>SUELDOS</t>
        </is>
      </c>
      <c r="B70" s="13" t="inlineStr">
        <is>
          <t>Responsable de Producto y Desarrollo (socio)</t>
        </is>
      </c>
      <c r="C70" s="28">
        <f>IF(25&lt;$D$8,0,$C$8*(1+Hipótesis!$D$14)*(1+Hipótesis!$E$14)*1*$E$18)</f>
        <v/>
      </c>
      <c r="D70" s="28">
        <f>IF(26&lt;$D$8,0,$C$8*(1+Hipótesis!$D$14)*(1+Hipótesis!$E$14)*1*$E$18)</f>
        <v/>
      </c>
      <c r="E70" s="28">
        <f>IF(27&lt;$D$8,0,$C$8*(1+Hipótesis!$D$14)*(1+Hipótesis!$E$14)*1*$E$18)</f>
        <v/>
      </c>
      <c r="F70" s="28">
        <f>IF(28&lt;$D$8,0,$C$8*(1+Hipótesis!$D$14)*(1+Hipótesis!$E$14)*1*$E$18)</f>
        <v/>
      </c>
      <c r="G70" s="28">
        <f>IF(29&lt;$D$8,0,$C$8*(1+Hipótesis!$D$14)*(1+Hipótesis!$E$14)*1*$E$18)</f>
        <v/>
      </c>
      <c r="H70" s="28">
        <f>IF(30&lt;$D$8,0,$C$8*(1+Hipótesis!$D$14)*(1+Hipótesis!$E$14)*1.5*$E$18)</f>
        <v/>
      </c>
      <c r="I70" s="28">
        <f>IF(31&lt;$D$8,0,$C$8*(1+Hipótesis!$D$14)*(1+Hipótesis!$E$14)*1*$E$18)</f>
        <v/>
      </c>
      <c r="J70" s="28">
        <f>IF(32&lt;$D$8,0,$C$8*(1+Hipótesis!$D$14)*(1+Hipótesis!$E$14)*1*$E$18)</f>
        <v/>
      </c>
      <c r="K70" s="28">
        <f>IF(33&lt;$D$8,0,$C$8*(1+Hipótesis!$D$14)*(1+Hipótesis!$E$14)*1*$E$18)</f>
        <v/>
      </c>
      <c r="L70" s="28">
        <f>IF(34&lt;$D$8,0,$C$8*(1+Hipótesis!$D$14)*(1+Hipótesis!$E$14)*1*$E$18)</f>
        <v/>
      </c>
      <c r="M70" s="28">
        <f>IF(35&lt;$D$8,0,$C$8*(1+Hipótesis!$D$14)*(1+Hipótesis!$E$14)*1*$E$18)</f>
        <v/>
      </c>
      <c r="N70" s="28">
        <f>IF(36&lt;$D$8,0,$C$8*(1+Hipótesis!$D$14)*(1+Hipótesis!$E$14)*1.5*$E$18)</f>
        <v/>
      </c>
      <c r="O70" s="29">
        <f>SUM(C70:N70)</f>
        <v/>
      </c>
    </row>
    <row r="71">
      <c r="B71" s="13" t="inlineStr">
        <is>
          <t>Responsable Comercial y de Cuentas (socio)</t>
        </is>
      </c>
      <c r="C71" s="28">
        <f>IF(25&lt;$D$9,0,$C$9*(1+Hipótesis!$D$14)*(1+Hipótesis!$E$14)*1*$E$18)</f>
        <v/>
      </c>
      <c r="D71" s="28">
        <f>IF(26&lt;$D$9,0,$C$9*(1+Hipótesis!$D$14)*(1+Hipótesis!$E$14)*1*$E$18)</f>
        <v/>
      </c>
      <c r="E71" s="28">
        <f>IF(27&lt;$D$9,0,$C$9*(1+Hipótesis!$D$14)*(1+Hipótesis!$E$14)*1*$E$18)</f>
        <v/>
      </c>
      <c r="F71" s="28">
        <f>IF(28&lt;$D$9,0,$C$9*(1+Hipótesis!$D$14)*(1+Hipótesis!$E$14)*1*$E$18)</f>
        <v/>
      </c>
      <c r="G71" s="28">
        <f>IF(29&lt;$D$9,0,$C$9*(1+Hipótesis!$D$14)*(1+Hipótesis!$E$14)*1*$E$18)</f>
        <v/>
      </c>
      <c r="H71" s="28">
        <f>IF(30&lt;$D$9,0,$C$9*(1+Hipótesis!$D$14)*(1+Hipótesis!$E$14)*1.5*$E$18)</f>
        <v/>
      </c>
      <c r="I71" s="28">
        <f>IF(31&lt;$D$9,0,$C$9*(1+Hipótesis!$D$14)*(1+Hipótesis!$E$14)*1*$E$18)</f>
        <v/>
      </c>
      <c r="J71" s="28">
        <f>IF(32&lt;$D$9,0,$C$9*(1+Hipótesis!$D$14)*(1+Hipótesis!$E$14)*1*$E$18)</f>
        <v/>
      </c>
      <c r="K71" s="28">
        <f>IF(33&lt;$D$9,0,$C$9*(1+Hipótesis!$D$14)*(1+Hipótesis!$E$14)*1*$E$18)</f>
        <v/>
      </c>
      <c r="L71" s="28">
        <f>IF(34&lt;$D$9,0,$C$9*(1+Hipótesis!$D$14)*(1+Hipótesis!$E$14)*1*$E$18)</f>
        <v/>
      </c>
      <c r="M71" s="28">
        <f>IF(35&lt;$D$9,0,$C$9*(1+Hipótesis!$D$14)*(1+Hipótesis!$E$14)*1*$E$18)</f>
        <v/>
      </c>
      <c r="N71" s="28">
        <f>IF(36&lt;$D$9,0,$C$9*(1+Hipótesis!$D$14)*(1+Hipótesis!$E$14)*1.5*$E$18)</f>
        <v/>
      </c>
      <c r="O71" s="29">
        <f>SUM(C71:N71)</f>
        <v/>
      </c>
    </row>
    <row r="72">
      <c r="B72" s="13" t="inlineStr">
        <is>
          <t>Responsable de Soporte y Onboarding</t>
        </is>
      </c>
      <c r="C72" s="28">
        <f>IF(25&lt;$D$10,0,$C$10*(1+Hipótesis!$D$14)*(1+Hipótesis!$E$14)*1)</f>
        <v/>
      </c>
      <c r="D72" s="28">
        <f>IF(26&lt;$D$10,0,$C$10*(1+Hipótesis!$D$14)*(1+Hipótesis!$E$14)*1)</f>
        <v/>
      </c>
      <c r="E72" s="28">
        <f>IF(27&lt;$D$10,0,$C$10*(1+Hipótesis!$D$14)*(1+Hipótesis!$E$14)*1)</f>
        <v/>
      </c>
      <c r="F72" s="28">
        <f>IF(28&lt;$D$10,0,$C$10*(1+Hipótesis!$D$14)*(1+Hipótesis!$E$14)*1)</f>
        <v/>
      </c>
      <c r="G72" s="28">
        <f>IF(29&lt;$D$10,0,$C$10*(1+Hipótesis!$D$14)*(1+Hipótesis!$E$14)*1)</f>
        <v/>
      </c>
      <c r="H72" s="28">
        <f>IF(30&lt;$D$10,0,$C$10*(1+Hipótesis!$D$14)*(1+Hipótesis!$E$14)*1.5)</f>
        <v/>
      </c>
      <c r="I72" s="28">
        <f>IF(31&lt;$D$10,0,$C$10*(1+Hipótesis!$D$14)*(1+Hipótesis!$E$14)*1)</f>
        <v/>
      </c>
      <c r="J72" s="28">
        <f>IF(32&lt;$D$10,0,$C$10*(1+Hipótesis!$D$14)*(1+Hipótesis!$E$14)*1)</f>
        <v/>
      </c>
      <c r="K72" s="28">
        <f>IF(33&lt;$D$10,0,$C$10*(1+Hipótesis!$D$14)*(1+Hipótesis!$E$14)*1)</f>
        <v/>
      </c>
      <c r="L72" s="28">
        <f>IF(34&lt;$D$10,0,$C$10*(1+Hipótesis!$D$14)*(1+Hipótesis!$E$14)*1)</f>
        <v/>
      </c>
      <c r="M72" s="28">
        <f>IF(35&lt;$D$10,0,$C$10*(1+Hipótesis!$D$14)*(1+Hipótesis!$E$14)*1)</f>
        <v/>
      </c>
      <c r="N72" s="28">
        <f>IF(36&lt;$D$10,0,$C$10*(1+Hipótesis!$D$14)*(1+Hipótesis!$E$14)*1.5)</f>
        <v/>
      </c>
      <c r="O72" s="29">
        <f>SUM(C72:N72)</f>
        <v/>
      </c>
    </row>
    <row r="73">
      <c r="B73" s="13" t="inlineStr">
        <is>
          <t>Colaborador de desarrollo</t>
        </is>
      </c>
      <c r="C73" s="28">
        <f>IF(25&lt;$D$11,0,$C$11*(1+Hipótesis!$D$14)*(1+Hipótesis!$E$14)*1)</f>
        <v/>
      </c>
      <c r="D73" s="28">
        <f>IF(26&lt;$D$11,0,$C$11*(1+Hipótesis!$D$14)*(1+Hipótesis!$E$14)*1)</f>
        <v/>
      </c>
      <c r="E73" s="28">
        <f>IF(27&lt;$D$11,0,$C$11*(1+Hipótesis!$D$14)*(1+Hipótesis!$E$14)*1)</f>
        <v/>
      </c>
      <c r="F73" s="28">
        <f>IF(28&lt;$D$11,0,$C$11*(1+Hipótesis!$D$14)*(1+Hipótesis!$E$14)*1)</f>
        <v/>
      </c>
      <c r="G73" s="28">
        <f>IF(29&lt;$D$11,0,$C$11*(1+Hipótesis!$D$14)*(1+Hipótesis!$E$14)*1)</f>
        <v/>
      </c>
      <c r="H73" s="28">
        <f>IF(30&lt;$D$11,0,$C$11*(1+Hipótesis!$D$14)*(1+Hipótesis!$E$14)*1.5)</f>
        <v/>
      </c>
      <c r="I73" s="28">
        <f>IF(31&lt;$D$11,0,$C$11*(1+Hipótesis!$D$14)*(1+Hipótesis!$E$14)*1)</f>
        <v/>
      </c>
      <c r="J73" s="28">
        <f>IF(32&lt;$D$11,0,$C$11*(1+Hipótesis!$D$14)*(1+Hipótesis!$E$14)*1)</f>
        <v/>
      </c>
      <c r="K73" s="28">
        <f>IF(33&lt;$D$11,0,$C$11*(1+Hipótesis!$D$14)*(1+Hipótesis!$E$14)*1)</f>
        <v/>
      </c>
      <c r="L73" s="28">
        <f>IF(34&lt;$D$11,0,$C$11*(1+Hipótesis!$D$14)*(1+Hipótesis!$E$14)*1)</f>
        <v/>
      </c>
      <c r="M73" s="28">
        <f>IF(35&lt;$D$11,0,$C$11*(1+Hipótesis!$D$14)*(1+Hipótesis!$E$14)*1)</f>
        <v/>
      </c>
      <c r="N73" s="28">
        <f>IF(36&lt;$D$11,0,$C$11*(1+Hipótesis!$D$14)*(1+Hipótesis!$E$14)*1.5)</f>
        <v/>
      </c>
      <c r="O73" s="29">
        <f>SUM(C73:N73)</f>
        <v/>
      </c>
    </row>
    <row r="74">
      <c r="B74" s="13" t="inlineStr">
        <is>
          <t>Responsable de Marketing y Contenidos</t>
        </is>
      </c>
      <c r="C74" s="28">
        <f>IF(25&lt;$D$12,0,$C$12*(1+Hipótesis!$D$14)*(1+Hipótesis!$E$14)*1)</f>
        <v/>
      </c>
      <c r="D74" s="28">
        <f>IF(26&lt;$D$12,0,$C$12*(1+Hipótesis!$D$14)*(1+Hipótesis!$E$14)*1)</f>
        <v/>
      </c>
      <c r="E74" s="28">
        <f>IF(27&lt;$D$12,0,$C$12*(1+Hipótesis!$D$14)*(1+Hipótesis!$E$14)*1)</f>
        <v/>
      </c>
      <c r="F74" s="28">
        <f>IF(28&lt;$D$12,0,$C$12*(1+Hipótesis!$D$14)*(1+Hipótesis!$E$14)*1)</f>
        <v/>
      </c>
      <c r="G74" s="28">
        <f>IF(29&lt;$D$12,0,$C$12*(1+Hipótesis!$D$14)*(1+Hipótesis!$E$14)*1)</f>
        <v/>
      </c>
      <c r="H74" s="28">
        <f>IF(30&lt;$D$12,0,$C$12*(1+Hipótesis!$D$14)*(1+Hipótesis!$E$14)*1.5)</f>
        <v/>
      </c>
      <c r="I74" s="28">
        <f>IF(31&lt;$D$12,0,$C$12*(1+Hipótesis!$D$14)*(1+Hipótesis!$E$14)*1)</f>
        <v/>
      </c>
      <c r="J74" s="28">
        <f>IF(32&lt;$D$12,0,$C$12*(1+Hipótesis!$D$14)*(1+Hipótesis!$E$14)*1)</f>
        <v/>
      </c>
      <c r="K74" s="28">
        <f>IF(33&lt;$D$12,0,$C$12*(1+Hipótesis!$D$14)*(1+Hipótesis!$E$14)*1)</f>
        <v/>
      </c>
      <c r="L74" s="28">
        <f>IF(34&lt;$D$12,0,$C$12*(1+Hipótesis!$D$14)*(1+Hipótesis!$E$14)*1)</f>
        <v/>
      </c>
      <c r="M74" s="28">
        <f>IF(35&lt;$D$12,0,$C$12*(1+Hipótesis!$D$14)*(1+Hipótesis!$E$14)*1)</f>
        <v/>
      </c>
      <c r="N74" s="28">
        <f>IF(36&lt;$D$12,0,$C$12*(1+Hipótesis!$D$14)*(1+Hipótesis!$E$14)*1.5)</f>
        <v/>
      </c>
      <c r="O74" s="29">
        <f>SUM(C74:N74)</f>
        <v/>
      </c>
    </row>
    <row r="75">
      <c r="B75" s="13" t="inlineStr">
        <is>
          <t>Segundo colaborador de soporte</t>
        </is>
      </c>
      <c r="C75" s="28">
        <f>IF(25&lt;$D$13,0,$C$13*(1+Hipótesis!$D$14)*(1+Hipótesis!$E$14)*1)</f>
        <v/>
      </c>
      <c r="D75" s="28">
        <f>IF(26&lt;$D$13,0,$C$13*(1+Hipótesis!$D$14)*(1+Hipótesis!$E$14)*1)</f>
        <v/>
      </c>
      <c r="E75" s="28">
        <f>IF(27&lt;$D$13,0,$C$13*(1+Hipótesis!$D$14)*(1+Hipótesis!$E$14)*1)</f>
        <v/>
      </c>
      <c r="F75" s="28">
        <f>IF(28&lt;$D$13,0,$C$13*(1+Hipótesis!$D$14)*(1+Hipótesis!$E$14)*1)</f>
        <v/>
      </c>
      <c r="G75" s="28">
        <f>IF(29&lt;$D$13,0,$C$13*(1+Hipótesis!$D$14)*(1+Hipótesis!$E$14)*1)</f>
        <v/>
      </c>
      <c r="H75" s="28">
        <f>IF(30&lt;$D$13,0,$C$13*(1+Hipótesis!$D$14)*(1+Hipótesis!$E$14)*1.5)</f>
        <v/>
      </c>
      <c r="I75" s="28">
        <f>IF(31&lt;$D$13,0,$C$13*(1+Hipótesis!$D$14)*(1+Hipótesis!$E$14)*1)</f>
        <v/>
      </c>
      <c r="J75" s="28">
        <f>IF(32&lt;$D$13,0,$C$13*(1+Hipótesis!$D$14)*(1+Hipótesis!$E$14)*1)</f>
        <v/>
      </c>
      <c r="K75" s="28">
        <f>IF(33&lt;$D$13,0,$C$13*(1+Hipótesis!$D$14)*(1+Hipótesis!$E$14)*1)</f>
        <v/>
      </c>
      <c r="L75" s="28">
        <f>IF(34&lt;$D$13,0,$C$13*(1+Hipótesis!$D$14)*(1+Hipótesis!$E$14)*1)</f>
        <v/>
      </c>
      <c r="M75" s="28">
        <f>IF(35&lt;$D$13,0,$C$13*(1+Hipótesis!$D$14)*(1+Hipótesis!$E$14)*1)</f>
        <v/>
      </c>
      <c r="N75" s="28">
        <f>IF(36&lt;$D$13,0,$C$13*(1+Hipótesis!$D$14)*(1+Hipótesis!$E$14)*1.5)</f>
        <v/>
      </c>
      <c r="O75" s="29">
        <f>SUM(C75:N75)</f>
        <v/>
      </c>
    </row>
    <row r="76">
      <c r="B76" s="20" t="inlineStr">
        <is>
          <t>Total de salarios brutos</t>
        </is>
      </c>
      <c r="C76" s="18">
        <f>SUM(C70:C75)</f>
        <v/>
      </c>
      <c r="D76" s="18">
        <f>SUM(D70:D75)</f>
        <v/>
      </c>
      <c r="E76" s="18">
        <f>SUM(E70:E75)</f>
        <v/>
      </c>
      <c r="F76" s="18">
        <f>SUM(F70:F75)</f>
        <v/>
      </c>
      <c r="G76" s="18">
        <f>SUM(G70:G75)</f>
        <v/>
      </c>
      <c r="H76" s="18">
        <f>SUM(H70:H75)</f>
        <v/>
      </c>
      <c r="I76" s="18">
        <f>SUM(I70:I75)</f>
        <v/>
      </c>
      <c r="J76" s="18">
        <f>SUM(J70:J75)</f>
        <v/>
      </c>
      <c r="K76" s="18">
        <f>SUM(K70:K75)</f>
        <v/>
      </c>
      <c r="L76" s="18">
        <f>SUM(L70:L75)</f>
        <v/>
      </c>
      <c r="M76" s="18">
        <f>SUM(M70:M75)</f>
        <v/>
      </c>
      <c r="N76" s="18">
        <f>SUM(N70:N75)</f>
        <v/>
      </c>
      <c r="O76" s="29">
        <f>SUM(C76:N76)</f>
        <v/>
      </c>
    </row>
    <row r="77">
      <c r="B77" s="13" t="inlineStr">
        <is>
          <t xml:space="preserve">    Cargas sociales</t>
        </is>
      </c>
      <c r="C77" s="28">
        <f>C76*$C$28</f>
        <v/>
      </c>
      <c r="D77" s="28">
        <f>D76*$C$28</f>
        <v/>
      </c>
      <c r="E77" s="28">
        <f>E76*$C$28</f>
        <v/>
      </c>
      <c r="F77" s="28">
        <f>F76*$C$28</f>
        <v/>
      </c>
      <c r="G77" s="28">
        <f>G76*$C$28</f>
        <v/>
      </c>
      <c r="H77" s="28">
        <f>H76*$C$28</f>
        <v/>
      </c>
      <c r="I77" s="28">
        <f>I76*$C$28</f>
        <v/>
      </c>
      <c r="J77" s="28">
        <f>J76*$C$28</f>
        <v/>
      </c>
      <c r="K77" s="28">
        <f>K76*$C$28</f>
        <v/>
      </c>
      <c r="L77" s="28">
        <f>L76*$C$28</f>
        <v/>
      </c>
      <c r="M77" s="28">
        <f>M76*$C$28</f>
        <v/>
      </c>
      <c r="N77" s="28">
        <f>N76*$C$28</f>
        <v/>
      </c>
      <c r="O77" s="29">
        <f>SUM(C77:N77)</f>
        <v/>
      </c>
    </row>
    <row r="78">
      <c r="A78" s="20" t="inlineStr">
        <is>
          <t>TOTAL</t>
        </is>
      </c>
      <c r="B78" s="20" t="inlineStr">
        <is>
          <t>Costo total de RRHH</t>
        </is>
      </c>
      <c r="C78" s="18">
        <f>C76+C77</f>
        <v/>
      </c>
      <c r="D78" s="18">
        <f>D76+D77</f>
        <v/>
      </c>
      <c r="E78" s="18">
        <f>E76+E77</f>
        <v/>
      </c>
      <c r="F78" s="18">
        <f>F76+F77</f>
        <v/>
      </c>
      <c r="G78" s="18">
        <f>G76+G77</f>
        <v/>
      </c>
      <c r="H78" s="18">
        <f>H76+H77</f>
        <v/>
      </c>
      <c r="I78" s="18">
        <f>I76+I77</f>
        <v/>
      </c>
      <c r="J78" s="18">
        <f>J76+J77</f>
        <v/>
      </c>
      <c r="K78" s="18">
        <f>K76+K77</f>
        <v/>
      </c>
      <c r="L78" s="18">
        <f>L76+L77</f>
        <v/>
      </c>
      <c r="M78" s="18">
        <f>M76+M77</f>
        <v/>
      </c>
      <c r="N78" s="18">
        <f>N76+N77</f>
        <v/>
      </c>
      <c r="O78" s="29">
        <f>SUM(C78:N78)</f>
        <v/>
      </c>
    </row>
    <row r="79">
      <c r="B79" s="13" t="inlineStr">
        <is>
          <t xml:space="preserve">    Personas en la plantilla</t>
        </is>
      </c>
      <c r="C79" s="28">
        <f>COUNTIF(C70:C75,"&gt;0")</f>
        <v/>
      </c>
      <c r="D79" s="28">
        <f>COUNTIF(D70:D75,"&gt;0")</f>
        <v/>
      </c>
      <c r="E79" s="28">
        <f>COUNTIF(E70:E75,"&gt;0")</f>
        <v/>
      </c>
      <c r="F79" s="28">
        <f>COUNTIF(F70:F75,"&gt;0")</f>
        <v/>
      </c>
      <c r="G79" s="28">
        <f>COUNTIF(G70:G75,"&gt;0")</f>
        <v/>
      </c>
      <c r="H79" s="28">
        <f>COUNTIF(H70:H75,"&gt;0")</f>
        <v/>
      </c>
      <c r="I79" s="28">
        <f>COUNTIF(I70:I75,"&gt;0")</f>
        <v/>
      </c>
      <c r="J79" s="28">
        <f>COUNTIF(J70:J75,"&gt;0")</f>
        <v/>
      </c>
      <c r="K79" s="28">
        <f>COUNTIF(K70:K75,"&gt;0")</f>
        <v/>
      </c>
      <c r="L79" s="28">
        <f>COUNTIF(L70:L75,"&gt;0")</f>
        <v/>
      </c>
      <c r="M79" s="28">
        <f>COUNTIF(M70:M75,"&gt;0")</f>
        <v/>
      </c>
      <c r="N79" s="28">
        <f>COUNTIF(N70:N75,"&gt;0")</f>
        <v/>
      </c>
      <c r="O79" s="29">
        <f>N79</f>
        <v/>
      </c>
    </row>
    <row r="80"/>
    <row r="81"/>
    <row r="82">
      <c r="C82" s="5" t="n">
        <v>2030</v>
      </c>
    </row>
    <row r="83">
      <c r="C83" s="26" t="inlineStr">
        <is>
          <t>Ene</t>
        </is>
      </c>
      <c r="D83" s="26" t="inlineStr">
        <is>
          <t>Feb</t>
        </is>
      </c>
      <c r="E83" s="26" t="inlineStr">
        <is>
          <t>Mar</t>
        </is>
      </c>
      <c r="F83" s="26" t="inlineStr">
        <is>
          <t>Abr</t>
        </is>
      </c>
      <c r="G83" s="26" t="inlineStr">
        <is>
          <t>May</t>
        </is>
      </c>
      <c r="H83" s="26" t="inlineStr">
        <is>
          <t>Jun</t>
        </is>
      </c>
      <c r="I83" s="26" t="inlineStr">
        <is>
          <t>Jul</t>
        </is>
      </c>
      <c r="J83" s="26" t="inlineStr">
        <is>
          <t>Ago</t>
        </is>
      </c>
      <c r="K83" s="26" t="inlineStr">
        <is>
          <t>Sep</t>
        </is>
      </c>
      <c r="L83" s="26" t="inlineStr">
        <is>
          <t>Oct</t>
        </is>
      </c>
      <c r="M83" s="26" t="inlineStr">
        <is>
          <t>Nov</t>
        </is>
      </c>
      <c r="N83" s="26" t="inlineStr">
        <is>
          <t>Dic</t>
        </is>
      </c>
      <c r="O83" s="27" t="inlineStr">
        <is>
          <t>Total 2030</t>
        </is>
      </c>
    </row>
    <row r="84">
      <c r="B84" s="9" t="inlineStr">
        <is>
          <t>Salarios brutos por rol</t>
        </is>
      </c>
      <c r="C84" s="10" t="n"/>
      <c r="D84" s="10" t="n"/>
      <c r="E84" s="10" t="n"/>
      <c r="F84" s="10" t="n"/>
      <c r="G84" s="10" t="n"/>
      <c r="H84" s="10" t="n"/>
      <c r="I84" s="10" t="n"/>
      <c r="J84" s="10" t="n"/>
      <c r="K84" s="10" t="n"/>
      <c r="L84" s="10" t="n"/>
      <c r="M84" s="10" t="n"/>
      <c r="N84" s="10" t="n"/>
      <c r="O84" s="10" t="n"/>
    </row>
    <row r="85">
      <c r="A85" s="20" t="inlineStr">
        <is>
          <t>SUELDOS</t>
        </is>
      </c>
      <c r="B85" s="13" t="inlineStr">
        <is>
          <t>Responsable de Producto y Desarrollo (socio)</t>
        </is>
      </c>
      <c r="C85" s="28">
        <f>IF(37&lt;$D$8,0,$C$8*(1+Hipótesis!$D$14)*(1+Hipótesis!$E$14)*(1+Hipótesis!$F$14)*1*$F$18)</f>
        <v/>
      </c>
      <c r="D85" s="28">
        <f>IF(38&lt;$D$8,0,$C$8*(1+Hipótesis!$D$14)*(1+Hipótesis!$E$14)*(1+Hipótesis!$F$14)*1*$F$18)</f>
        <v/>
      </c>
      <c r="E85" s="28">
        <f>IF(39&lt;$D$8,0,$C$8*(1+Hipótesis!$D$14)*(1+Hipótesis!$E$14)*(1+Hipótesis!$F$14)*1*$F$18)</f>
        <v/>
      </c>
      <c r="F85" s="28">
        <f>IF(40&lt;$D$8,0,$C$8*(1+Hipótesis!$D$14)*(1+Hipótesis!$E$14)*(1+Hipótesis!$F$14)*1*$F$18)</f>
        <v/>
      </c>
      <c r="G85" s="28">
        <f>IF(41&lt;$D$8,0,$C$8*(1+Hipótesis!$D$14)*(1+Hipótesis!$E$14)*(1+Hipótesis!$F$14)*1*$F$18)</f>
        <v/>
      </c>
      <c r="H85" s="28">
        <f>IF(42&lt;$D$8,0,$C$8*(1+Hipótesis!$D$14)*(1+Hipótesis!$E$14)*(1+Hipótesis!$F$14)*1.5*$F$18)</f>
        <v/>
      </c>
      <c r="I85" s="28">
        <f>IF(43&lt;$D$8,0,$C$8*(1+Hipótesis!$D$14)*(1+Hipótesis!$E$14)*(1+Hipótesis!$F$14)*1*$F$18)</f>
        <v/>
      </c>
      <c r="J85" s="28">
        <f>IF(44&lt;$D$8,0,$C$8*(1+Hipótesis!$D$14)*(1+Hipótesis!$E$14)*(1+Hipótesis!$F$14)*1*$F$18)</f>
        <v/>
      </c>
      <c r="K85" s="28">
        <f>IF(45&lt;$D$8,0,$C$8*(1+Hipótesis!$D$14)*(1+Hipótesis!$E$14)*(1+Hipótesis!$F$14)*1*$F$18)</f>
        <v/>
      </c>
      <c r="L85" s="28">
        <f>IF(46&lt;$D$8,0,$C$8*(1+Hipótesis!$D$14)*(1+Hipótesis!$E$14)*(1+Hipótesis!$F$14)*1*$F$18)</f>
        <v/>
      </c>
      <c r="M85" s="28">
        <f>IF(47&lt;$D$8,0,$C$8*(1+Hipótesis!$D$14)*(1+Hipótesis!$E$14)*(1+Hipótesis!$F$14)*1*$F$18)</f>
        <v/>
      </c>
      <c r="N85" s="28">
        <f>IF(48&lt;$D$8,0,$C$8*(1+Hipótesis!$D$14)*(1+Hipótesis!$E$14)*(1+Hipótesis!$F$14)*1.5*$F$18)</f>
        <v/>
      </c>
      <c r="O85" s="29">
        <f>SUM(C85:N85)</f>
        <v/>
      </c>
    </row>
    <row r="86">
      <c r="B86" s="13" t="inlineStr">
        <is>
          <t>Responsable Comercial y de Cuentas (socio)</t>
        </is>
      </c>
      <c r="C86" s="28">
        <f>IF(37&lt;$D$9,0,$C$9*(1+Hipótesis!$D$14)*(1+Hipótesis!$E$14)*(1+Hipótesis!$F$14)*1*$F$18)</f>
        <v/>
      </c>
      <c r="D86" s="28">
        <f>IF(38&lt;$D$9,0,$C$9*(1+Hipótesis!$D$14)*(1+Hipótesis!$E$14)*(1+Hipótesis!$F$14)*1*$F$18)</f>
        <v/>
      </c>
      <c r="E86" s="28">
        <f>IF(39&lt;$D$9,0,$C$9*(1+Hipótesis!$D$14)*(1+Hipótesis!$E$14)*(1+Hipótesis!$F$14)*1*$F$18)</f>
        <v/>
      </c>
      <c r="F86" s="28">
        <f>IF(40&lt;$D$9,0,$C$9*(1+Hipótesis!$D$14)*(1+Hipótesis!$E$14)*(1+Hipótesis!$F$14)*1*$F$18)</f>
        <v/>
      </c>
      <c r="G86" s="28">
        <f>IF(41&lt;$D$9,0,$C$9*(1+Hipótesis!$D$14)*(1+Hipótesis!$E$14)*(1+Hipótesis!$F$14)*1*$F$18)</f>
        <v/>
      </c>
      <c r="H86" s="28">
        <f>IF(42&lt;$D$9,0,$C$9*(1+Hipótesis!$D$14)*(1+Hipótesis!$E$14)*(1+Hipótesis!$F$14)*1.5*$F$18)</f>
        <v/>
      </c>
      <c r="I86" s="28">
        <f>IF(43&lt;$D$9,0,$C$9*(1+Hipótesis!$D$14)*(1+Hipótesis!$E$14)*(1+Hipótesis!$F$14)*1*$F$18)</f>
        <v/>
      </c>
      <c r="J86" s="28">
        <f>IF(44&lt;$D$9,0,$C$9*(1+Hipótesis!$D$14)*(1+Hipótesis!$E$14)*(1+Hipótesis!$F$14)*1*$F$18)</f>
        <v/>
      </c>
      <c r="K86" s="28">
        <f>IF(45&lt;$D$9,0,$C$9*(1+Hipótesis!$D$14)*(1+Hipótesis!$E$14)*(1+Hipótesis!$F$14)*1*$F$18)</f>
        <v/>
      </c>
      <c r="L86" s="28">
        <f>IF(46&lt;$D$9,0,$C$9*(1+Hipótesis!$D$14)*(1+Hipótesis!$E$14)*(1+Hipótesis!$F$14)*1*$F$18)</f>
        <v/>
      </c>
      <c r="M86" s="28">
        <f>IF(47&lt;$D$9,0,$C$9*(1+Hipótesis!$D$14)*(1+Hipótesis!$E$14)*(1+Hipótesis!$F$14)*1*$F$18)</f>
        <v/>
      </c>
      <c r="N86" s="28">
        <f>IF(48&lt;$D$9,0,$C$9*(1+Hipótesis!$D$14)*(1+Hipótesis!$E$14)*(1+Hipótesis!$F$14)*1.5*$F$18)</f>
        <v/>
      </c>
      <c r="O86" s="29">
        <f>SUM(C86:N86)</f>
        <v/>
      </c>
    </row>
    <row r="87">
      <c r="B87" s="13" t="inlineStr">
        <is>
          <t>Responsable de Soporte y Onboarding</t>
        </is>
      </c>
      <c r="C87" s="28">
        <f>IF(37&lt;$D$10,0,$C$10*(1+Hipótesis!$D$14)*(1+Hipótesis!$E$14)*(1+Hipótesis!$F$14)*1)</f>
        <v/>
      </c>
      <c r="D87" s="28">
        <f>IF(38&lt;$D$10,0,$C$10*(1+Hipótesis!$D$14)*(1+Hipótesis!$E$14)*(1+Hipótesis!$F$14)*1)</f>
        <v/>
      </c>
      <c r="E87" s="28">
        <f>IF(39&lt;$D$10,0,$C$10*(1+Hipótesis!$D$14)*(1+Hipótesis!$E$14)*(1+Hipótesis!$F$14)*1)</f>
        <v/>
      </c>
      <c r="F87" s="28">
        <f>IF(40&lt;$D$10,0,$C$10*(1+Hipótesis!$D$14)*(1+Hipótesis!$E$14)*(1+Hipótesis!$F$14)*1)</f>
        <v/>
      </c>
      <c r="G87" s="28">
        <f>IF(41&lt;$D$10,0,$C$10*(1+Hipótesis!$D$14)*(1+Hipótesis!$E$14)*(1+Hipótesis!$F$14)*1)</f>
        <v/>
      </c>
      <c r="H87" s="28">
        <f>IF(42&lt;$D$10,0,$C$10*(1+Hipótesis!$D$14)*(1+Hipótesis!$E$14)*(1+Hipótesis!$F$14)*1.5)</f>
        <v/>
      </c>
      <c r="I87" s="28">
        <f>IF(43&lt;$D$10,0,$C$10*(1+Hipótesis!$D$14)*(1+Hipótesis!$E$14)*(1+Hipótesis!$F$14)*1)</f>
        <v/>
      </c>
      <c r="J87" s="28">
        <f>IF(44&lt;$D$10,0,$C$10*(1+Hipótesis!$D$14)*(1+Hipótesis!$E$14)*(1+Hipótesis!$F$14)*1)</f>
        <v/>
      </c>
      <c r="K87" s="28">
        <f>IF(45&lt;$D$10,0,$C$10*(1+Hipótesis!$D$14)*(1+Hipótesis!$E$14)*(1+Hipótesis!$F$14)*1)</f>
        <v/>
      </c>
      <c r="L87" s="28">
        <f>IF(46&lt;$D$10,0,$C$10*(1+Hipótesis!$D$14)*(1+Hipótesis!$E$14)*(1+Hipótesis!$F$14)*1)</f>
        <v/>
      </c>
      <c r="M87" s="28">
        <f>IF(47&lt;$D$10,0,$C$10*(1+Hipótesis!$D$14)*(1+Hipótesis!$E$14)*(1+Hipótesis!$F$14)*1)</f>
        <v/>
      </c>
      <c r="N87" s="28">
        <f>IF(48&lt;$D$10,0,$C$10*(1+Hipótesis!$D$14)*(1+Hipótesis!$E$14)*(1+Hipótesis!$F$14)*1.5)</f>
        <v/>
      </c>
      <c r="O87" s="29">
        <f>SUM(C87:N87)</f>
        <v/>
      </c>
    </row>
    <row r="88">
      <c r="B88" s="13" t="inlineStr">
        <is>
          <t>Colaborador de desarrollo</t>
        </is>
      </c>
      <c r="C88" s="28">
        <f>IF(37&lt;$D$11,0,$C$11*(1+Hipótesis!$D$14)*(1+Hipótesis!$E$14)*(1+Hipótesis!$F$14)*1)</f>
        <v/>
      </c>
      <c r="D88" s="28">
        <f>IF(38&lt;$D$11,0,$C$11*(1+Hipótesis!$D$14)*(1+Hipótesis!$E$14)*(1+Hipótesis!$F$14)*1)</f>
        <v/>
      </c>
      <c r="E88" s="28">
        <f>IF(39&lt;$D$11,0,$C$11*(1+Hipótesis!$D$14)*(1+Hipótesis!$E$14)*(1+Hipótesis!$F$14)*1)</f>
        <v/>
      </c>
      <c r="F88" s="28">
        <f>IF(40&lt;$D$11,0,$C$11*(1+Hipótesis!$D$14)*(1+Hipótesis!$E$14)*(1+Hipótesis!$F$14)*1)</f>
        <v/>
      </c>
      <c r="G88" s="28">
        <f>IF(41&lt;$D$11,0,$C$11*(1+Hipótesis!$D$14)*(1+Hipótesis!$E$14)*(1+Hipótesis!$F$14)*1)</f>
        <v/>
      </c>
      <c r="H88" s="28">
        <f>IF(42&lt;$D$11,0,$C$11*(1+Hipótesis!$D$14)*(1+Hipótesis!$E$14)*(1+Hipótesis!$F$14)*1.5)</f>
        <v/>
      </c>
      <c r="I88" s="28">
        <f>IF(43&lt;$D$11,0,$C$11*(1+Hipótesis!$D$14)*(1+Hipótesis!$E$14)*(1+Hipótesis!$F$14)*1)</f>
        <v/>
      </c>
      <c r="J88" s="28">
        <f>IF(44&lt;$D$11,0,$C$11*(1+Hipótesis!$D$14)*(1+Hipótesis!$E$14)*(1+Hipótesis!$F$14)*1)</f>
        <v/>
      </c>
      <c r="K88" s="28">
        <f>IF(45&lt;$D$11,0,$C$11*(1+Hipótesis!$D$14)*(1+Hipótesis!$E$14)*(1+Hipótesis!$F$14)*1)</f>
        <v/>
      </c>
      <c r="L88" s="28">
        <f>IF(46&lt;$D$11,0,$C$11*(1+Hipótesis!$D$14)*(1+Hipótesis!$E$14)*(1+Hipótesis!$F$14)*1)</f>
        <v/>
      </c>
      <c r="M88" s="28">
        <f>IF(47&lt;$D$11,0,$C$11*(1+Hipótesis!$D$14)*(1+Hipótesis!$E$14)*(1+Hipótesis!$F$14)*1)</f>
        <v/>
      </c>
      <c r="N88" s="28">
        <f>IF(48&lt;$D$11,0,$C$11*(1+Hipótesis!$D$14)*(1+Hipótesis!$E$14)*(1+Hipótesis!$F$14)*1.5)</f>
        <v/>
      </c>
      <c r="O88" s="29">
        <f>SUM(C88:N88)</f>
        <v/>
      </c>
    </row>
    <row r="89">
      <c r="B89" s="13" t="inlineStr">
        <is>
          <t>Responsable de Marketing y Contenidos</t>
        </is>
      </c>
      <c r="C89" s="28">
        <f>IF(37&lt;$D$12,0,$C$12*(1+Hipótesis!$D$14)*(1+Hipótesis!$E$14)*(1+Hipótesis!$F$14)*1)</f>
        <v/>
      </c>
      <c r="D89" s="28">
        <f>IF(38&lt;$D$12,0,$C$12*(1+Hipótesis!$D$14)*(1+Hipótesis!$E$14)*(1+Hipótesis!$F$14)*1)</f>
        <v/>
      </c>
      <c r="E89" s="28">
        <f>IF(39&lt;$D$12,0,$C$12*(1+Hipótesis!$D$14)*(1+Hipótesis!$E$14)*(1+Hipótesis!$F$14)*1)</f>
        <v/>
      </c>
      <c r="F89" s="28">
        <f>IF(40&lt;$D$12,0,$C$12*(1+Hipótesis!$D$14)*(1+Hipótesis!$E$14)*(1+Hipótesis!$F$14)*1)</f>
        <v/>
      </c>
      <c r="G89" s="28">
        <f>IF(41&lt;$D$12,0,$C$12*(1+Hipótesis!$D$14)*(1+Hipótesis!$E$14)*(1+Hipótesis!$F$14)*1)</f>
        <v/>
      </c>
      <c r="H89" s="28">
        <f>IF(42&lt;$D$12,0,$C$12*(1+Hipótesis!$D$14)*(1+Hipótesis!$E$14)*(1+Hipótesis!$F$14)*1.5)</f>
        <v/>
      </c>
      <c r="I89" s="28">
        <f>IF(43&lt;$D$12,0,$C$12*(1+Hipótesis!$D$14)*(1+Hipótesis!$E$14)*(1+Hipótesis!$F$14)*1)</f>
        <v/>
      </c>
      <c r="J89" s="28">
        <f>IF(44&lt;$D$12,0,$C$12*(1+Hipótesis!$D$14)*(1+Hipótesis!$E$14)*(1+Hipótesis!$F$14)*1)</f>
        <v/>
      </c>
      <c r="K89" s="28">
        <f>IF(45&lt;$D$12,0,$C$12*(1+Hipótesis!$D$14)*(1+Hipótesis!$E$14)*(1+Hipótesis!$F$14)*1)</f>
        <v/>
      </c>
      <c r="L89" s="28">
        <f>IF(46&lt;$D$12,0,$C$12*(1+Hipótesis!$D$14)*(1+Hipótesis!$E$14)*(1+Hipótesis!$F$14)*1)</f>
        <v/>
      </c>
      <c r="M89" s="28">
        <f>IF(47&lt;$D$12,0,$C$12*(1+Hipótesis!$D$14)*(1+Hipótesis!$E$14)*(1+Hipótesis!$F$14)*1)</f>
        <v/>
      </c>
      <c r="N89" s="28">
        <f>IF(48&lt;$D$12,0,$C$12*(1+Hipótesis!$D$14)*(1+Hipótesis!$E$14)*(1+Hipótesis!$F$14)*1.5)</f>
        <v/>
      </c>
      <c r="O89" s="29">
        <f>SUM(C89:N89)</f>
        <v/>
      </c>
    </row>
    <row r="90">
      <c r="B90" s="13" t="inlineStr">
        <is>
          <t>Segundo colaborador de soporte</t>
        </is>
      </c>
      <c r="C90" s="28">
        <f>IF(37&lt;$D$13,0,$C$13*(1+Hipótesis!$D$14)*(1+Hipótesis!$E$14)*(1+Hipótesis!$F$14)*1)</f>
        <v/>
      </c>
      <c r="D90" s="28">
        <f>IF(38&lt;$D$13,0,$C$13*(1+Hipótesis!$D$14)*(1+Hipótesis!$E$14)*(1+Hipótesis!$F$14)*1)</f>
        <v/>
      </c>
      <c r="E90" s="28">
        <f>IF(39&lt;$D$13,0,$C$13*(1+Hipótesis!$D$14)*(1+Hipótesis!$E$14)*(1+Hipótesis!$F$14)*1)</f>
        <v/>
      </c>
      <c r="F90" s="28">
        <f>IF(40&lt;$D$13,0,$C$13*(1+Hipótesis!$D$14)*(1+Hipótesis!$E$14)*(1+Hipótesis!$F$14)*1)</f>
        <v/>
      </c>
      <c r="G90" s="28">
        <f>IF(41&lt;$D$13,0,$C$13*(1+Hipótesis!$D$14)*(1+Hipótesis!$E$14)*(1+Hipótesis!$F$14)*1)</f>
        <v/>
      </c>
      <c r="H90" s="28">
        <f>IF(42&lt;$D$13,0,$C$13*(1+Hipótesis!$D$14)*(1+Hipótesis!$E$14)*(1+Hipótesis!$F$14)*1.5)</f>
        <v/>
      </c>
      <c r="I90" s="28">
        <f>IF(43&lt;$D$13,0,$C$13*(1+Hipótesis!$D$14)*(1+Hipótesis!$E$14)*(1+Hipótesis!$F$14)*1)</f>
        <v/>
      </c>
      <c r="J90" s="28">
        <f>IF(44&lt;$D$13,0,$C$13*(1+Hipótesis!$D$14)*(1+Hipótesis!$E$14)*(1+Hipótesis!$F$14)*1)</f>
        <v/>
      </c>
      <c r="K90" s="28">
        <f>IF(45&lt;$D$13,0,$C$13*(1+Hipótesis!$D$14)*(1+Hipótesis!$E$14)*(1+Hipótesis!$F$14)*1)</f>
        <v/>
      </c>
      <c r="L90" s="28">
        <f>IF(46&lt;$D$13,0,$C$13*(1+Hipótesis!$D$14)*(1+Hipótesis!$E$14)*(1+Hipótesis!$F$14)*1)</f>
        <v/>
      </c>
      <c r="M90" s="28">
        <f>IF(47&lt;$D$13,0,$C$13*(1+Hipótesis!$D$14)*(1+Hipótesis!$E$14)*(1+Hipótesis!$F$14)*1)</f>
        <v/>
      </c>
      <c r="N90" s="28">
        <f>IF(48&lt;$D$13,0,$C$13*(1+Hipótesis!$D$14)*(1+Hipótesis!$E$14)*(1+Hipótesis!$F$14)*1.5)</f>
        <v/>
      </c>
      <c r="O90" s="29">
        <f>SUM(C90:N90)</f>
        <v/>
      </c>
    </row>
    <row r="91">
      <c r="B91" s="20" t="inlineStr">
        <is>
          <t>Total de salarios brutos</t>
        </is>
      </c>
      <c r="C91" s="18">
        <f>SUM(C85:C90)</f>
        <v/>
      </c>
      <c r="D91" s="18">
        <f>SUM(D85:D90)</f>
        <v/>
      </c>
      <c r="E91" s="18">
        <f>SUM(E85:E90)</f>
        <v/>
      </c>
      <c r="F91" s="18">
        <f>SUM(F85:F90)</f>
        <v/>
      </c>
      <c r="G91" s="18">
        <f>SUM(G85:G90)</f>
        <v/>
      </c>
      <c r="H91" s="18">
        <f>SUM(H85:H90)</f>
        <v/>
      </c>
      <c r="I91" s="18">
        <f>SUM(I85:I90)</f>
        <v/>
      </c>
      <c r="J91" s="18">
        <f>SUM(J85:J90)</f>
        <v/>
      </c>
      <c r="K91" s="18">
        <f>SUM(K85:K90)</f>
        <v/>
      </c>
      <c r="L91" s="18">
        <f>SUM(L85:L90)</f>
        <v/>
      </c>
      <c r="M91" s="18">
        <f>SUM(M85:M90)</f>
        <v/>
      </c>
      <c r="N91" s="18">
        <f>SUM(N85:N90)</f>
        <v/>
      </c>
      <c r="O91" s="29">
        <f>SUM(C91:N91)</f>
        <v/>
      </c>
    </row>
    <row r="92">
      <c r="B92" s="13" t="inlineStr">
        <is>
          <t xml:space="preserve">    Cargas sociales</t>
        </is>
      </c>
      <c r="C92" s="28">
        <f>C91*$C$28</f>
        <v/>
      </c>
      <c r="D92" s="28">
        <f>D91*$C$28</f>
        <v/>
      </c>
      <c r="E92" s="28">
        <f>E91*$C$28</f>
        <v/>
      </c>
      <c r="F92" s="28">
        <f>F91*$C$28</f>
        <v/>
      </c>
      <c r="G92" s="28">
        <f>G91*$C$28</f>
        <v/>
      </c>
      <c r="H92" s="28">
        <f>H91*$C$28</f>
        <v/>
      </c>
      <c r="I92" s="28">
        <f>I91*$C$28</f>
        <v/>
      </c>
      <c r="J92" s="28">
        <f>J91*$C$28</f>
        <v/>
      </c>
      <c r="K92" s="28">
        <f>K91*$C$28</f>
        <v/>
      </c>
      <c r="L92" s="28">
        <f>L91*$C$28</f>
        <v/>
      </c>
      <c r="M92" s="28">
        <f>M91*$C$28</f>
        <v/>
      </c>
      <c r="N92" s="28">
        <f>N91*$C$28</f>
        <v/>
      </c>
      <c r="O92" s="29">
        <f>SUM(C92:N92)</f>
        <v/>
      </c>
    </row>
    <row r="93">
      <c r="A93" s="20" t="inlineStr">
        <is>
          <t>TOTAL</t>
        </is>
      </c>
      <c r="B93" s="20" t="inlineStr">
        <is>
          <t>Costo total de RRHH</t>
        </is>
      </c>
      <c r="C93" s="18">
        <f>C91+C92</f>
        <v/>
      </c>
      <c r="D93" s="18">
        <f>D91+D92</f>
        <v/>
      </c>
      <c r="E93" s="18">
        <f>E91+E92</f>
        <v/>
      </c>
      <c r="F93" s="18">
        <f>F91+F92</f>
        <v/>
      </c>
      <c r="G93" s="18">
        <f>G91+G92</f>
        <v/>
      </c>
      <c r="H93" s="18">
        <f>H91+H92</f>
        <v/>
      </c>
      <c r="I93" s="18">
        <f>I91+I92</f>
        <v/>
      </c>
      <c r="J93" s="18">
        <f>J91+J92</f>
        <v/>
      </c>
      <c r="K93" s="18">
        <f>K91+K92</f>
        <v/>
      </c>
      <c r="L93" s="18">
        <f>L91+L92</f>
        <v/>
      </c>
      <c r="M93" s="18">
        <f>M91+M92</f>
        <v/>
      </c>
      <c r="N93" s="18">
        <f>N91+N92</f>
        <v/>
      </c>
      <c r="O93" s="29">
        <f>SUM(C93:N93)</f>
        <v/>
      </c>
    </row>
    <row r="94">
      <c r="B94" s="13" t="inlineStr">
        <is>
          <t xml:space="preserve">    Personas en la plantilla</t>
        </is>
      </c>
      <c r="C94" s="28">
        <f>COUNTIF(C85:C90,"&gt;0")</f>
        <v/>
      </c>
      <c r="D94" s="28">
        <f>COUNTIF(D85:D90,"&gt;0")</f>
        <v/>
      </c>
      <c r="E94" s="28">
        <f>COUNTIF(E85:E90,"&gt;0")</f>
        <v/>
      </c>
      <c r="F94" s="28">
        <f>COUNTIF(F85:F90,"&gt;0")</f>
        <v/>
      </c>
      <c r="G94" s="28">
        <f>COUNTIF(G85:G90,"&gt;0")</f>
        <v/>
      </c>
      <c r="H94" s="28">
        <f>COUNTIF(H85:H90,"&gt;0")</f>
        <v/>
      </c>
      <c r="I94" s="28">
        <f>COUNTIF(I85:I90,"&gt;0")</f>
        <v/>
      </c>
      <c r="J94" s="28">
        <f>COUNTIF(J85:J90,"&gt;0")</f>
        <v/>
      </c>
      <c r="K94" s="28">
        <f>COUNTIF(K85:K90,"&gt;0")</f>
        <v/>
      </c>
      <c r="L94" s="28">
        <f>COUNTIF(L85:L90,"&gt;0")</f>
        <v/>
      </c>
      <c r="M94" s="28">
        <f>COUNTIF(M85:M90,"&gt;0")</f>
        <v/>
      </c>
      <c r="N94" s="28">
        <f>COUNTIF(N85:N90,"&gt;0")</f>
        <v/>
      </c>
      <c r="O94" s="29">
        <f>N94</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0.xml><?xml version="1.0" encoding="utf-8"?>
<worksheet xmlns="http://schemas.openxmlformats.org/spreadsheetml/2006/main">
  <sheetPr>
    <tabColor rgb="00A5A5A5"/>
    <outlinePr summaryBelow="1" summaryRight="1"/>
    <pageSetUpPr/>
  </sheetPr>
  <dimension ref="A1:H17"/>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44" customWidth="1" min="3" max="3"/>
    <col width="16" customWidth="1" min="4" max="4"/>
    <col width="16" customWidth="1" min="5" max="5"/>
    <col width="16" customWidth="1" min="6" max="6"/>
    <col width="16" customWidth="1" min="7" max="7"/>
    <col width="16" customWidth="1" min="8" max="8"/>
    <col width="50" customWidth="1" min="9" max="9"/>
  </cols>
  <sheetData>
    <row r="1">
      <c r="A1" s="7" t="inlineStr">
        <is>
          <t>« Inicio</t>
        </is>
      </c>
    </row>
    <row r="2" ht="24" customHeight="1">
      <c r="B2" s="8" t="inlineStr">
        <is>
          <t>MODELO DE INVERSIÓN</t>
        </is>
      </c>
    </row>
    <row r="3">
      <c r="B3" s="3" t="inlineStr">
        <is>
          <t>Lo que hay que poner antes de facturar el primer peso, y las reposiciones que caen dentro del horizonte proyectado.</t>
        </is>
      </c>
    </row>
    <row r="4"/>
    <row r="5"/>
    <row r="6">
      <c r="B6" s="39" t="inlineStr">
        <is>
          <t>Rubro</t>
        </is>
      </c>
      <c r="C6" s="39" t="inlineStr">
        <is>
          <t>Concepto</t>
        </is>
      </c>
      <c r="D6" s="39" t="inlineStr">
        <is>
          <t>Cantidad</t>
        </is>
      </c>
      <c r="E6" s="39" t="inlineStr">
        <is>
          <t>Precio unitario</t>
        </is>
      </c>
      <c r="F6" s="39" t="inlineStr">
        <is>
          <t>Total</t>
        </is>
      </c>
      <c r="G6" s="39" t="inlineStr">
        <is>
          <t>Año</t>
        </is>
      </c>
      <c r="H6" s="39" t="inlineStr">
        <is>
          <t>Vida útil (años)</t>
        </is>
      </c>
    </row>
    <row r="7">
      <c r="B7" s="13" t="inlineStr">
        <is>
          <t>Hardware</t>
        </is>
      </c>
      <c r="C7" s="13" t="inlineStr">
        <is>
          <t>Notebooks de trabajo</t>
        </is>
      </c>
      <c r="D7" s="15" t="n">
        <v>3</v>
      </c>
      <c r="E7" s="15" t="n">
        <v>1500000</v>
      </c>
      <c r="F7" s="28">
        <f>D7*E7</f>
        <v/>
      </c>
      <c r="G7" s="15" t="n">
        <v>0</v>
      </c>
      <c r="H7" s="15" t="n">
        <v>3</v>
      </c>
    </row>
    <row r="8">
      <c r="B8" s="13" t="inlineStr">
        <is>
          <t>Hardware</t>
        </is>
      </c>
      <c r="C8" s="13" t="inlineStr">
        <is>
          <t>Periféricos y monitores</t>
        </is>
      </c>
      <c r="D8" s="15" t="n">
        <v>3</v>
      </c>
      <c r="E8" s="15" t="n">
        <v>350000</v>
      </c>
      <c r="F8" s="28">
        <f>D8*E8</f>
        <v/>
      </c>
      <c r="G8" s="15" t="n">
        <v>0</v>
      </c>
      <c r="H8" s="15" t="n">
        <v>3</v>
      </c>
    </row>
    <row r="9">
      <c r="B9" s="13" t="inlineStr">
        <is>
          <t>Software</t>
        </is>
      </c>
      <c r="C9" s="13" t="inlineStr">
        <is>
          <t>Licencias y herramientas de desarrollo</t>
        </is>
      </c>
      <c r="D9" s="15" t="n">
        <v>1</v>
      </c>
      <c r="E9" s="15" t="n">
        <v>600000</v>
      </c>
      <c r="F9" s="28">
        <f>D9*E9</f>
        <v/>
      </c>
      <c r="G9" s="15" t="n">
        <v>0</v>
      </c>
      <c r="H9" s="15" t="n">
        <v>3</v>
      </c>
    </row>
    <row r="10">
      <c r="B10" s="13" t="inlineStr">
        <is>
          <t>Intangibles</t>
        </is>
      </c>
      <c r="C10" s="13" t="inlineStr">
        <is>
          <t>Constitución de la SAS y honorarios legales</t>
        </is>
      </c>
      <c r="D10" s="15" t="n">
        <v>1</v>
      </c>
      <c r="E10" s="15" t="n">
        <v>800000</v>
      </c>
      <c r="F10" s="28">
        <f>D10*E10</f>
        <v/>
      </c>
      <c r="G10" s="15" t="n">
        <v>0</v>
      </c>
      <c r="H10" s="15" t="n">
        <v>0</v>
      </c>
    </row>
    <row r="11">
      <c r="B11" s="13" t="inlineStr">
        <is>
          <t>Intangibles</t>
        </is>
      </c>
      <c r="C11" s="13" t="inlineStr">
        <is>
          <t>Marca, identidad visual y sitio web</t>
        </is>
      </c>
      <c r="D11" s="15" t="n">
        <v>1</v>
      </c>
      <c r="E11" s="15" t="n">
        <v>1500000</v>
      </c>
      <c r="F11" s="28">
        <f>D11*E11</f>
        <v/>
      </c>
      <c r="G11" s="15" t="n">
        <v>0</v>
      </c>
      <c r="H11" s="15" t="n">
        <v>5</v>
      </c>
    </row>
    <row r="12">
      <c r="B12" s="13" t="inlineStr">
        <is>
          <t>Capital de trabajo</t>
        </is>
      </c>
      <c r="C12" s="13" t="inlineStr">
        <is>
          <t>Fondo para cubrir el déficit de los primeros meses</t>
        </is>
      </c>
      <c r="D12" s="15" t="n">
        <v>1</v>
      </c>
      <c r="E12" s="15" t="n">
        <v>12000000</v>
      </c>
      <c r="F12" s="28">
        <f>D12*E12</f>
        <v/>
      </c>
      <c r="G12" s="15" t="n">
        <v>0</v>
      </c>
      <c r="H12" s="15" t="n">
        <v>0</v>
      </c>
    </row>
    <row r="13">
      <c r="B13" s="13" t="inlineStr">
        <is>
          <t>Hardware</t>
        </is>
      </c>
      <c r="C13" s="13" t="inlineStr">
        <is>
          <t>Reposición de equipamiento</t>
        </is>
      </c>
      <c r="D13" s="15" t="n">
        <v>3</v>
      </c>
      <c r="E13" s="15" t="n">
        <v>2200000</v>
      </c>
      <c r="F13" s="28">
        <f>D13*E13</f>
        <v/>
      </c>
      <c r="G13" s="15" t="n">
        <v>3</v>
      </c>
      <c r="H13" s="15" t="n">
        <v>3</v>
      </c>
    </row>
    <row r="14">
      <c r="E14" s="20" t="inlineStr">
        <is>
          <t>Inversión inicial (año 0)</t>
        </is>
      </c>
      <c r="F14" s="18">
        <f>SUMIF($G$7:$G$13,0,$F$7:$F$13)</f>
        <v/>
      </c>
    </row>
    <row r="15">
      <c r="E15" s="20" t="inlineStr">
        <is>
          <t>Inversión total del proyecto</t>
        </is>
      </c>
      <c r="F15" s="18">
        <f>SUM(F7:F13)</f>
        <v/>
      </c>
    </row>
    <row r="16"/>
    <row r="17">
      <c r="B17" s="3" t="inlineStr">
        <is>
          <t>La "vida útil 0" marca lo que no se amortiza: los honorarios de constitución se imputan al gasto del período y el capital de trabajo no es un activo amortizable, es caja.</t>
        </is>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tabColor rgb="00A5A5A5"/>
    <outlinePr summaryBelow="1" summaryRight="1"/>
    <pageSetUpPr/>
  </sheetPr>
  <dimension ref="A1:J14"/>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44"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7" t="inlineStr">
        <is>
          <t>« Inicio</t>
        </is>
      </c>
    </row>
    <row r="2" ht="24" customHeight="1">
      <c r="B2" s="8" t="inlineStr">
        <is>
          <t>AMORTIZACIONES</t>
        </is>
      </c>
    </row>
    <row r="3">
      <c r="B3" s="3" t="inlineStr">
        <is>
          <t>Amortización lineal de los bienes con vida útil, por año del proyecto.</t>
        </is>
      </c>
    </row>
    <row r="4"/>
    <row r="5"/>
    <row r="6">
      <c r="B6" s="12" t="inlineStr">
        <is>
          <t>Rubro</t>
        </is>
      </c>
      <c r="C6" s="12" t="inlineStr">
        <is>
          <t>Concepto</t>
        </is>
      </c>
      <c r="D6" s="12" t="inlineStr">
        <is>
          <t>Total</t>
        </is>
      </c>
      <c r="E6" s="12" t="inlineStr">
        <is>
          <t>Vida útil</t>
        </is>
      </c>
      <c r="F6" s="12" t="inlineStr">
        <is>
          <t>Alta (año)</t>
        </is>
      </c>
      <c r="G6" s="11" t="inlineStr">
        <is>
          <t>Año 1</t>
        </is>
      </c>
      <c r="H6" s="11" t="inlineStr">
        <is>
          <t>Año 2</t>
        </is>
      </c>
      <c r="I6" s="11" t="inlineStr">
        <is>
          <t>Año 3</t>
        </is>
      </c>
      <c r="J6" s="11" t="inlineStr">
        <is>
          <t>Año 4</t>
        </is>
      </c>
    </row>
    <row r="7">
      <c r="B7" s="13" t="inlineStr">
        <is>
          <t>Hardware</t>
        </is>
      </c>
      <c r="C7" s="13" t="inlineStr">
        <is>
          <t>Notebooks de trabajo</t>
        </is>
      </c>
      <c r="D7" s="28">
        <f>'Modelo de Inversión'!F7</f>
        <v/>
      </c>
      <c r="E7" s="28">
        <f>'Modelo de Inversión'!H7</f>
        <v/>
      </c>
      <c r="F7" s="28">
        <f>'Modelo de Inversión'!G7</f>
        <v/>
      </c>
      <c r="G7" s="28">
        <f>IF(OR($E7=0,1&lt;=$F7,1&gt;$F7+$E7),0,$D7/$E7)</f>
        <v/>
      </c>
      <c r="H7" s="28">
        <f>IF(OR($E7=0,2&lt;=$F7,2&gt;$F7+$E7),0,$D7/$E7)</f>
        <v/>
      </c>
      <c r="I7" s="28">
        <f>IF(OR($E7=0,3&lt;=$F7,3&gt;$F7+$E7),0,$D7/$E7)</f>
        <v/>
      </c>
      <c r="J7" s="28">
        <f>IF(OR($E7=0,4&lt;=$F7,4&gt;$F7+$E7),0,$D7/$E7)</f>
        <v/>
      </c>
    </row>
    <row r="8">
      <c r="B8" s="13" t="inlineStr">
        <is>
          <t>Hardware</t>
        </is>
      </c>
      <c r="C8" s="13" t="inlineStr">
        <is>
          <t>Periféricos y monitores</t>
        </is>
      </c>
      <c r="D8" s="28">
        <f>'Modelo de Inversión'!F8</f>
        <v/>
      </c>
      <c r="E8" s="28">
        <f>'Modelo de Inversión'!H8</f>
        <v/>
      </c>
      <c r="F8" s="28">
        <f>'Modelo de Inversión'!G8</f>
        <v/>
      </c>
      <c r="G8" s="28">
        <f>IF(OR($E8=0,1&lt;=$F8,1&gt;$F8+$E8),0,$D8/$E8)</f>
        <v/>
      </c>
      <c r="H8" s="28">
        <f>IF(OR($E8=0,2&lt;=$F8,2&gt;$F8+$E8),0,$D8/$E8)</f>
        <v/>
      </c>
      <c r="I8" s="28">
        <f>IF(OR($E8=0,3&lt;=$F8,3&gt;$F8+$E8),0,$D8/$E8)</f>
        <v/>
      </c>
      <c r="J8" s="28">
        <f>IF(OR($E8=0,4&lt;=$F8,4&gt;$F8+$E8),0,$D8/$E8)</f>
        <v/>
      </c>
    </row>
    <row r="9">
      <c r="B9" s="13" t="inlineStr">
        <is>
          <t>Software</t>
        </is>
      </c>
      <c r="C9" s="13" t="inlineStr">
        <is>
          <t>Licencias y herramientas de desarrollo</t>
        </is>
      </c>
      <c r="D9" s="28">
        <f>'Modelo de Inversión'!F9</f>
        <v/>
      </c>
      <c r="E9" s="28">
        <f>'Modelo de Inversión'!H9</f>
        <v/>
      </c>
      <c r="F9" s="28">
        <f>'Modelo de Inversión'!G9</f>
        <v/>
      </c>
      <c r="G9" s="28">
        <f>IF(OR($E9=0,1&lt;=$F9,1&gt;$F9+$E9),0,$D9/$E9)</f>
        <v/>
      </c>
      <c r="H9" s="28">
        <f>IF(OR($E9=0,2&lt;=$F9,2&gt;$F9+$E9),0,$D9/$E9)</f>
        <v/>
      </c>
      <c r="I9" s="28">
        <f>IF(OR($E9=0,3&lt;=$F9,3&gt;$F9+$E9),0,$D9/$E9)</f>
        <v/>
      </c>
      <c r="J9" s="28">
        <f>IF(OR($E9=0,4&lt;=$F9,4&gt;$F9+$E9),0,$D9/$E9)</f>
        <v/>
      </c>
    </row>
    <row r="10">
      <c r="B10" s="13" t="inlineStr">
        <is>
          <t>Intangibles</t>
        </is>
      </c>
      <c r="C10" s="13" t="inlineStr">
        <is>
          <t>Constitución de la SAS y honorarios legales</t>
        </is>
      </c>
      <c r="D10" s="28">
        <f>'Modelo de Inversión'!F10</f>
        <v/>
      </c>
      <c r="E10" s="28">
        <f>'Modelo de Inversión'!H10</f>
        <v/>
      </c>
      <c r="F10" s="28">
        <f>'Modelo de Inversión'!G10</f>
        <v/>
      </c>
      <c r="G10" s="28">
        <f>IF(OR($E10=0,1&lt;=$F10,1&gt;$F10+$E10),0,$D10/$E10)</f>
        <v/>
      </c>
      <c r="H10" s="28">
        <f>IF(OR($E10=0,2&lt;=$F10,2&gt;$F10+$E10),0,$D10/$E10)</f>
        <v/>
      </c>
      <c r="I10" s="28">
        <f>IF(OR($E10=0,3&lt;=$F10,3&gt;$F10+$E10),0,$D10/$E10)</f>
        <v/>
      </c>
      <c r="J10" s="28">
        <f>IF(OR($E10=0,4&lt;=$F10,4&gt;$F10+$E10),0,$D10/$E10)</f>
        <v/>
      </c>
    </row>
    <row r="11">
      <c r="B11" s="13" t="inlineStr">
        <is>
          <t>Intangibles</t>
        </is>
      </c>
      <c r="C11" s="13" t="inlineStr">
        <is>
          <t>Marca, identidad visual y sitio web</t>
        </is>
      </c>
      <c r="D11" s="28">
        <f>'Modelo de Inversión'!F11</f>
        <v/>
      </c>
      <c r="E11" s="28">
        <f>'Modelo de Inversión'!H11</f>
        <v/>
      </c>
      <c r="F11" s="28">
        <f>'Modelo de Inversión'!G11</f>
        <v/>
      </c>
      <c r="G11" s="28">
        <f>IF(OR($E11=0,1&lt;=$F11,1&gt;$F11+$E11),0,$D11/$E11)</f>
        <v/>
      </c>
      <c r="H11" s="28">
        <f>IF(OR($E11=0,2&lt;=$F11,2&gt;$F11+$E11),0,$D11/$E11)</f>
        <v/>
      </c>
      <c r="I11" s="28">
        <f>IF(OR($E11=0,3&lt;=$F11,3&gt;$F11+$E11),0,$D11/$E11)</f>
        <v/>
      </c>
      <c r="J11" s="28">
        <f>IF(OR($E11=0,4&lt;=$F11,4&gt;$F11+$E11),0,$D11/$E11)</f>
        <v/>
      </c>
    </row>
    <row r="12">
      <c r="B12" s="13" t="inlineStr">
        <is>
          <t>Capital de trabajo</t>
        </is>
      </c>
      <c r="C12" s="13" t="inlineStr">
        <is>
          <t>Fondo para cubrir el déficit de los primeros meses</t>
        </is>
      </c>
      <c r="D12" s="28">
        <f>'Modelo de Inversión'!F12</f>
        <v/>
      </c>
      <c r="E12" s="28">
        <f>'Modelo de Inversión'!H12</f>
        <v/>
      </c>
      <c r="F12" s="28">
        <f>'Modelo de Inversión'!G12</f>
        <v/>
      </c>
      <c r="G12" s="28">
        <f>IF(OR($E12=0,1&lt;=$F12,1&gt;$F12+$E12),0,$D12/$E12)</f>
        <v/>
      </c>
      <c r="H12" s="28">
        <f>IF(OR($E12=0,2&lt;=$F12,2&gt;$F12+$E12),0,$D12/$E12)</f>
        <v/>
      </c>
      <c r="I12" s="28">
        <f>IF(OR($E12=0,3&lt;=$F12,3&gt;$F12+$E12),0,$D12/$E12)</f>
        <v/>
      </c>
      <c r="J12" s="28">
        <f>IF(OR($E12=0,4&lt;=$F12,4&gt;$F12+$E12),0,$D12/$E12)</f>
        <v/>
      </c>
    </row>
    <row r="13">
      <c r="B13" s="13" t="inlineStr">
        <is>
          <t>Hardware</t>
        </is>
      </c>
      <c r="C13" s="13" t="inlineStr">
        <is>
          <t>Reposición de equipamiento</t>
        </is>
      </c>
      <c r="D13" s="28">
        <f>'Modelo de Inversión'!F13</f>
        <v/>
      </c>
      <c r="E13" s="28">
        <f>'Modelo de Inversión'!H13</f>
        <v/>
      </c>
      <c r="F13" s="28">
        <f>'Modelo de Inversión'!G13</f>
        <v/>
      </c>
      <c r="G13" s="28">
        <f>IF(OR($E13=0,1&lt;=$F13,1&gt;$F13+$E13),0,$D13/$E13)</f>
        <v/>
      </c>
      <c r="H13" s="28">
        <f>IF(OR($E13=0,2&lt;=$F13,2&gt;$F13+$E13),0,$D13/$E13)</f>
        <v/>
      </c>
      <c r="I13" s="28">
        <f>IF(OR($E13=0,3&lt;=$F13,3&gt;$F13+$E13),0,$D13/$E13)</f>
        <v/>
      </c>
      <c r="J13" s="28">
        <f>IF(OR($E13=0,4&lt;=$F13,4&gt;$F13+$E13),0,$D13/$E13)</f>
        <v/>
      </c>
    </row>
    <row r="14">
      <c r="C14" s="20" t="inlineStr">
        <is>
          <t>Total amortizado</t>
        </is>
      </c>
      <c r="G14" s="18">
        <f>SUM(G7:G13)</f>
        <v/>
      </c>
      <c r="H14" s="18">
        <f>SUM(H7:H13)</f>
        <v/>
      </c>
      <c r="I14" s="18">
        <f>SUM(I7:I13)</f>
        <v/>
      </c>
      <c r="J14" s="18">
        <f>SUM(J7:J13)</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tabColor rgb="00A5A5A5"/>
    <outlinePr summaryBelow="1" summaryRight="1"/>
    <pageSetUpPr/>
  </sheetPr>
  <dimension ref="A1:J64"/>
  <sheetViews>
    <sheetView showGridLines="0" workbookViewId="0">
      <pane xSplit="2" topLeftCell="C1" activePane="topRight" state="frozen"/>
      <selection pane="topRight" activeCell="A1" sqref="A1"/>
    </sheetView>
  </sheetViews>
  <sheetFormatPr baseColWidth="8" defaultRowHeight="15"/>
  <cols>
    <col width="3" customWidth="1" min="1" max="1"/>
    <col width="42" customWidth="1" min="2" max="2"/>
    <col width="14" customWidth="1" min="3" max="3"/>
    <col width="17" customWidth="1" min="5" max="5"/>
    <col width="17" customWidth="1" min="6" max="6"/>
    <col width="17" customWidth="1" min="7" max="7"/>
    <col width="17" customWidth="1" min="8" max="8"/>
    <col width="78" customWidth="1" min="10" max="10"/>
  </cols>
  <sheetData>
    <row r="1">
      <c r="A1" s="7" t="inlineStr">
        <is>
          <t>« Inicio</t>
        </is>
      </c>
    </row>
    <row r="2" ht="24" customHeight="1">
      <c r="B2" s="8" t="inlineStr">
        <is>
          <t>IMPUESTOS</t>
        </is>
      </c>
    </row>
    <row r="3">
      <c r="B3" s="3" t="inlineStr">
        <is>
          <t>Tributos nacionales y locales que alcanzan al proyecto, el régimen de promoción al que adhiere y los que no aplican, con el motivo. El flujo de fondos toma de esta hoja el impuesto a pagar.</t>
        </is>
      </c>
    </row>
    <row r="4"/>
    <row r="5">
      <c r="B5" s="9" t="inlineStr">
        <is>
          <t>Alícuotas y encuadre</t>
        </is>
      </c>
      <c r="C5" s="10" t="n"/>
      <c r="D5" s="10" t="n"/>
      <c r="E5" s="10" t="n"/>
      <c r="F5" s="10" t="n"/>
      <c r="G5" s="10" t="n"/>
      <c r="H5" s="10" t="n"/>
    </row>
    <row r="6">
      <c r="B6" s="13" t="inlineStr">
        <is>
          <t>IVA — alícuota general</t>
        </is>
      </c>
      <c r="C6" s="14" t="n">
        <v>0.21</v>
      </c>
      <c r="J6" s="24" t="inlineStr">
        <is>
          <t>Ley 23.349. El servicio está gravado a la alícuota general</t>
        </is>
      </c>
    </row>
    <row r="7">
      <c r="B7" s="13" t="inlineStr">
        <is>
          <t>IVA — exportación de servicios</t>
        </is>
      </c>
      <c r="C7" s="14" t="n">
        <v>0</v>
      </c>
      <c r="J7" s="24" t="inlineStr">
        <is>
          <t>Alícuota 0 %: la exportación de software y servicios IT no tributa IVA y genera crédito recuperable. Hoy el modelo no exporta, pero la fila queda para el día que sí</t>
        </is>
      </c>
    </row>
    <row r="8">
      <c r="B8" s="13" t="inlineStr">
        <is>
          <t>% de la facturación que se exporta</t>
        </is>
      </c>
      <c r="C8" s="14" t="n">
        <v>0</v>
      </c>
      <c r="J8" s="24" t="inlineStr">
        <is>
          <t>Decisión propia: la cartera proyectada es AMBA. Es la palanca que más cambia la carga fiscal si el negocio sale del país</t>
        </is>
      </c>
    </row>
    <row r="9">
      <c r="B9" s="13" t="inlineStr">
        <is>
          <t>Ingresos brutos — CABA</t>
        </is>
      </c>
      <c r="C9" s="14" t="n">
        <v>0.03</v>
      </c>
      <c r="J9" s="24" t="inlineStr">
        <is>
          <t>Servicios informáticos, alícuota general de la Ciudad</t>
        </is>
      </c>
    </row>
    <row r="10">
      <c r="B10" s="13" t="inlineStr">
        <is>
          <t>Ingresos brutos — provincia de Buenos Aires</t>
        </is>
      </c>
      <c r="C10" s="14" t="n">
        <v>0.035</v>
      </c>
      <c r="J10" s="24" t="inlineStr">
        <is>
          <t>Servicios informáticos, alícuota general de la Provincia</t>
        </is>
      </c>
    </row>
    <row r="11">
      <c r="B11" s="13" t="inlineStr">
        <is>
          <t>Coeficiente de Convenio Multilateral — CABA</t>
        </is>
      </c>
      <c r="C11" s="14" t="n">
        <v>0.55</v>
      </c>
      <c r="J11" s="24" t="inlineStr">
        <is>
          <t>Convenio Multilateral (Ley 8.960): con clientes en las dos jurisdicciones, la base imponible se reparte. 55 % CABA y 45 % Provincia según dónde se prevé la cartera</t>
        </is>
      </c>
    </row>
    <row r="12">
      <c r="B12" s="13" t="inlineStr">
        <is>
          <t>Impuesto de sellos sobre contratos</t>
        </is>
      </c>
      <c r="C12" s="14" t="n">
        <v>0.01</v>
      </c>
      <c r="J12" s="24" t="inlineStr">
        <is>
          <t>Alícuota general sobre instrumentos. Se aplica al valor del primer año de cada contrato de suscripción firmado</t>
        </is>
      </c>
    </row>
    <row r="13">
      <c r="B13" s="13" t="inlineStr">
        <is>
          <t>Impuesto al cheque — débitos y créditos</t>
        </is>
      </c>
      <c r="C13" s="14" t="n">
        <v>0.012</v>
      </c>
      <c r="J13" s="24" t="inlineStr">
        <is>
          <t>Ley 25.413: 0,6 % sobre débitos más 0,6 % sobre créditos</t>
        </is>
      </c>
    </row>
    <row r="14">
      <c r="B14" s="13" t="inlineStr">
        <is>
          <t xml:space="preserve">    del cheque, computable a Ganancias</t>
        </is>
      </c>
      <c r="C14" s="14" t="n">
        <v>0.33</v>
      </c>
      <c r="J14" s="24" t="inlineStr">
        <is>
          <t>El 33 % del impuesto al cheque se toma como pago a cuenta del impuesto a las ganancias</t>
        </is>
      </c>
    </row>
    <row r="15">
      <c r="B15" s="13" t="inlineStr">
        <is>
          <t>Impuesto a las ganancias</t>
        </is>
      </c>
      <c r="C15" s="14" t="n">
        <v>0.35</v>
      </c>
      <c r="J15" s="24" t="inlineStr">
        <is>
          <t>Alícuota de sociedades sobre la utilidad imponible</t>
        </is>
      </c>
    </row>
    <row r="16">
      <c r="B16" s="13" t="inlineStr">
        <is>
          <t>IVA sobre servicios digitales importados</t>
        </is>
      </c>
      <c r="C16" s="14" t="n">
        <v>0.21</v>
      </c>
      <c r="J16" s="24" t="inlineStr">
        <is>
          <t>RG 4356/2018: la nube, las APIs y el SaaS del exterior tributan IVA acrecentado, que el prestatario ingresa. Se computa como crédito fiscal, así que no es costo: es caja</t>
        </is>
      </c>
    </row>
    <row r="17">
      <c r="B17" s="13" t="inlineStr">
        <is>
          <t>Retención a beneficiarios del exterior</t>
        </is>
      </c>
      <c r="C17" s="14" t="n">
        <v>0.315</v>
      </c>
      <c r="J17" s="24" t="inlineStr">
        <is>
          <t>Ley 20.628 art. 93: retención sobre pagos al exterior. Si el proveedor no la absorbe, se acrecienta el precio y sí es costo</t>
        </is>
      </c>
    </row>
    <row r="18">
      <c r="B18" s="13" t="inlineStr">
        <is>
          <t xml:space="preserve">    la absorbe el proveedor del exterior</t>
        </is>
      </c>
      <c r="C18" s="14" t="n">
        <v>1</v>
      </c>
      <c r="J18" s="24" t="inlineStr">
        <is>
          <t>Los grandes proveedores de nube no aceptan el acrecentamiento y lo trasladan al precio; acá se supone que el precio de lista ya lo contiene. Si fuera 0 %, el costo de la nube subiría por este concepto</t>
        </is>
      </c>
    </row>
    <row r="19"/>
    <row r="20">
      <c r="B20" s="9" t="inlineStr">
        <is>
          <t>Régimen de promoción: Ley de Economía del Conocimiento (Ley 27.506)</t>
        </is>
      </c>
      <c r="C20" s="10" t="n"/>
      <c r="D20" s="10" t="n"/>
      <c r="E20" s="10" t="n"/>
      <c r="F20" s="10" t="n"/>
      <c r="G20" s="10" t="n"/>
      <c r="H20" s="10" t="n"/>
    </row>
    <row r="21">
      <c r="B21" s="13" t="inlineStr">
        <is>
          <t>¿El proyecto adhiere al régimen?</t>
        </is>
      </c>
      <c r="C21" s="15" t="n">
        <v>1</v>
      </c>
      <c r="J21" s="24" t="inlineStr">
        <is>
          <t>1 = sí, 0 = no. Es una decisión propia y hay que sostenerla: exige inscripción, nómina mínima, capacitación y auditoría anual. Un desarrollo de software para PyMEs encuadra en el objeto del régimen</t>
        </is>
      </c>
    </row>
    <row r="22">
      <c r="B22" s="13" t="inlineStr">
        <is>
          <t>Reducción del impuesto a las ganancias</t>
        </is>
      </c>
      <c r="C22" s="14" t="n">
        <v>0.6</v>
      </c>
      <c r="J22" s="24" t="inlineStr">
        <is>
          <t>Hasta 60 % para micro y pequeñas empresas. Es el beneficio más grande del régimen</t>
        </is>
      </c>
    </row>
    <row r="23">
      <c r="B23" s="13" t="inlineStr">
        <is>
          <t>Bono de crédito fiscal sobre contribuciones patronales</t>
        </is>
      </c>
      <c r="C23" s="14" t="n">
        <v>0.7</v>
      </c>
      <c r="J23" s="24" t="inlineStr">
        <is>
          <t>Hasta 70 % de las contribuciones patronales se convierte en bono para cancelar IVA y otros tributos nacionales. No baja el costo laboral: baja lo que se paga de impuestos</t>
        </is>
      </c>
    </row>
    <row r="24">
      <c r="B24" s="13" t="inlineStr">
        <is>
          <t>Derechos de exportación de servicios</t>
        </is>
      </c>
      <c r="C24" s="14" t="n">
        <v>0</v>
      </c>
      <c r="J24" s="24" t="inlineStr">
        <is>
          <t>0 % para servicios tecnológicos y desarrollo de software</t>
        </is>
      </c>
    </row>
    <row r="25"/>
    <row r="26">
      <c r="B26" s="9" t="inlineStr">
        <is>
          <t>Liquidación anual</t>
        </is>
      </c>
      <c r="C26" s="10" t="n"/>
      <c r="D26" s="10" t="n"/>
      <c r="E26" s="10" t="n"/>
      <c r="F26" s="10" t="n"/>
      <c r="G26" s="10" t="n"/>
      <c r="H26" s="10" t="n"/>
    </row>
    <row r="27">
      <c r="B27" s="20" t="inlineStr">
        <is>
          <t>Concepto</t>
        </is>
      </c>
      <c r="E27" s="11" t="n">
        <v>2027</v>
      </c>
      <c r="F27" s="11" t="n">
        <v>2028</v>
      </c>
      <c r="G27" s="11" t="n">
        <v>2029</v>
      </c>
      <c r="H27" s="11" t="n">
        <v>2030</v>
      </c>
    </row>
    <row r="28">
      <c r="B28" s="9" t="inlineStr">
        <is>
          <t>IVA</t>
        </is>
      </c>
      <c r="C28" s="10" t="n"/>
      <c r="D28" s="10" t="n"/>
      <c r="E28" s="10" t="n"/>
      <c r="F28" s="10" t="n"/>
      <c r="G28" s="10" t="n"/>
      <c r="H28" s="10" t="n"/>
    </row>
    <row r="29">
      <c r="B29" s="13" t="inlineStr">
        <is>
          <t>Débito fiscal por ventas gravadas</t>
        </is>
      </c>
      <c r="E29" s="28">
        <f>'Modelo de ingresos'!O26*((1-$C$8)*$C$6+$C$8*$C$7)</f>
        <v/>
      </c>
      <c r="F29" s="28">
        <f>'Modelo de ingresos'!O49*((1-$C$8)*$C$6+$C$8*$C$7)</f>
        <v/>
      </c>
      <c r="G29" s="28">
        <f>'Modelo de ingresos'!O72*((1-$C$8)*$C$6+$C$8*$C$7)</f>
        <v/>
      </c>
      <c r="H29" s="28">
        <f>'Modelo de ingresos'!O95*((1-$C$8)*$C$6+$C$8*$C$7)</f>
        <v/>
      </c>
      <c r="J29" s="24" t="inlineStr">
        <is>
          <t>Las ventas del modelo están expresadas netas de IVA, que es como corresponde presentarlas: el impuesto no es ingreso de la empresa</t>
        </is>
      </c>
    </row>
    <row r="30">
      <c r="B30" s="13" t="inlineStr">
        <is>
          <t>Crédito fiscal por compras locales</t>
        </is>
      </c>
      <c r="E30" s="28">
        <f>('Costos Fijos'!O32-'Costos Fijos'!C21*12+'Costos Variables'!O14)*$C$6</f>
        <v/>
      </c>
      <c r="F30" s="28">
        <f>('Costos Fijos'!O60-'Costos Fijos'!D21*12+'Costos Variables'!O24)*$C$6</f>
        <v/>
      </c>
      <c r="G30" s="28">
        <f>('Costos Fijos'!O88-'Costos Fijos'!E21*12+'Costos Variables'!O34)*$C$6</f>
        <v/>
      </c>
      <c r="H30" s="28">
        <f>('Costos Fijos'!O116-'Costos Fijos'!F21*12+'Costos Variables'!O44)*$C$6</f>
        <v/>
      </c>
      <c r="J30" s="24" t="inlineStr">
        <is>
          <t>Costos fijos locales más costos variables. Los sueldos no llevan IVA</t>
        </is>
      </c>
    </row>
    <row r="31">
      <c r="B31" s="13" t="inlineStr">
        <is>
          <t>IVA por importación de servicios digitales</t>
        </is>
      </c>
      <c r="E31" s="28">
        <f>'Costos Fijos'!C21*12*$C$16</f>
        <v/>
      </c>
      <c r="F31" s="28">
        <f>'Costos Fijos'!D21*12*$C$16</f>
        <v/>
      </c>
      <c r="G31" s="28">
        <f>'Costos Fijos'!E21*12*$C$16</f>
        <v/>
      </c>
      <c r="H31" s="28">
        <f>'Costos Fijos'!F21*12*$C$16</f>
        <v/>
      </c>
      <c r="J31" s="24" t="inlineStr">
        <is>
          <t>Nube, licencias y herramientas de IA del exterior (RG 4356/2018). Se ingresa y después se computa como crédito, así que afecta la caja y no el resultado</t>
        </is>
      </c>
    </row>
    <row r="32">
      <c r="B32" s="20" t="inlineStr">
        <is>
          <t>Saldo de IVA a pagar</t>
        </is>
      </c>
      <c r="E32" s="29">
        <f>MAX(0,E29-E30)</f>
        <v/>
      </c>
      <c r="F32" s="29">
        <f>MAX(0,F29-F30)</f>
        <v/>
      </c>
      <c r="G32" s="29">
        <f>MAX(0,G29-G30)</f>
        <v/>
      </c>
      <c r="H32" s="29">
        <f>MAX(0,H29-H30)</f>
        <v/>
      </c>
      <c r="J32" s="24" t="inlineStr">
        <is>
          <t>El IVA es neutro para el resultado de un responsable inscripto: se cobra al cliente y se ingresa al fisco. Por eso NO entra en el flujo de fondos como costo. Se muestra porque mueve caja y porque el saldo a favor tiene costo financiero</t>
        </is>
      </c>
    </row>
    <row r="33"/>
    <row r="34">
      <c r="B34" s="9" t="inlineStr">
        <is>
          <t>Tributos que sí son costo</t>
        </is>
      </c>
      <c r="C34" s="10" t="n"/>
      <c r="D34" s="10" t="n"/>
      <c r="E34" s="10" t="n"/>
      <c r="F34" s="10" t="n"/>
      <c r="G34" s="10" t="n"/>
      <c r="H34" s="10" t="n"/>
    </row>
    <row r="35">
      <c r="B35" s="13" t="inlineStr">
        <is>
          <t>Ingresos brutos (Convenio Multilateral)</t>
        </is>
      </c>
      <c r="E35" s="28">
        <f>'Modelo de ingresos'!O26*(1-$C$8)*($C$11*$C$9+(1-$C$11)*$C$10)</f>
        <v/>
      </c>
      <c r="F35" s="28">
        <f>'Modelo de ingresos'!O49*(1-$C$8)*($C$11*$C$9+(1-$C$11)*$C$10)</f>
        <v/>
      </c>
      <c r="G35" s="28">
        <f>'Modelo de ingresos'!O72*(1-$C$8)*($C$11*$C$9+(1-$C$11)*$C$10)</f>
        <v/>
      </c>
      <c r="H35" s="28">
        <f>'Modelo de ingresos'!O95*(1-$C$8)*($C$11*$C$9+(1-$C$11)*$C$10)</f>
        <v/>
      </c>
      <c r="J35" s="24" t="inlineStr">
        <is>
          <t>Los clientes están en CABA y en la provincia de Buenos Aires, así que la base se reparte por Convenio Multilateral en lugar de tributar dos veces. La alícuota efectiva sale de la mezcla de las dos jurisdicciones</t>
        </is>
      </c>
    </row>
    <row r="36">
      <c r="B36" s="13" t="inlineStr">
        <is>
          <t>Impuesto de sellos sobre contratos nuevos</t>
        </is>
      </c>
      <c r="E36" s="28">
        <f>'Modelo de ingresos'!O26*$C$12</f>
        <v/>
      </c>
      <c r="F36" s="28">
        <f>'Modelo de ingresos'!O49*IFERROR(MAX(0,('Proyección de ventas'!O63-'Proyección de ventas'!O33)/'Proyección de ventas'!O63),0)*$C$12</f>
        <v/>
      </c>
      <c r="G36" s="28">
        <f>'Modelo de ingresos'!O72*IFERROR(MAX(0,('Proyección de ventas'!O93-'Proyección de ventas'!O63)/'Proyección de ventas'!O93),0)*$C$12</f>
        <v/>
      </c>
      <c r="H36" s="28">
        <f>'Modelo de ingresos'!O95*IFERROR(MAX(0,('Proyección de ventas'!O123-'Proyección de ventas'!O93)/'Proyección de ventas'!O123),0)*$C$12</f>
        <v/>
      </c>
      <c r="J36" s="24" t="inlineStr">
        <is>
          <t>Sobre el valor anual de los contratos de suscripción firmados en el año. El año 1 firma toda su cartera; después, sólo las altas netas</t>
        </is>
      </c>
    </row>
    <row r="37">
      <c r="B37" s="13" t="inlineStr">
        <is>
          <t>Retención a beneficiarios del exterior no absorbida</t>
        </is>
      </c>
      <c r="E37" s="28">
        <f>'Costos Fijos'!C21*12*$C$17*(1-$C$18)</f>
        <v/>
      </c>
      <c r="F37" s="28">
        <f>'Costos Fijos'!D21*12*$C$17*(1-$C$18)</f>
        <v/>
      </c>
      <c r="G37" s="28">
        <f>'Costos Fijos'!E21*12*$C$17*(1-$C$18)</f>
        <v/>
      </c>
      <c r="H37" s="28">
        <f>'Costos Fijos'!F21*12*$C$17*(1-$C$18)</f>
        <v/>
      </c>
      <c r="J37" s="24" t="inlineStr">
        <is>
          <t>Hoy da cero porque se supone que el precio de lista del proveedor ya la contiene. Si el proveedor no la absorbiera, el costo de la nube y de las herramientas de IA subiría un 31,5 %: por eso la fila existe aunque valga cero</t>
        </is>
      </c>
    </row>
    <row r="38">
      <c r="B38" s="13" t="inlineStr">
        <is>
          <t>Derechos de exportación de servicios</t>
        </is>
      </c>
      <c r="E38" s="28">
        <f>'Modelo de ingresos'!O26*$C$8*$C$24</f>
        <v/>
      </c>
      <c r="F38" s="28">
        <f>'Modelo de ingresos'!O49*$C$8*$C$24</f>
        <v/>
      </c>
      <c r="G38" s="28">
        <f>'Modelo de ingresos'!O72*$C$8*$C$24</f>
        <v/>
      </c>
      <c r="H38" s="28">
        <f>'Modelo de ingresos'!O95*$C$8*$C$24</f>
        <v/>
      </c>
      <c r="J38" s="24" t="inlineStr">
        <is>
          <t>Cero por el régimen de Economía del Conocimiento, y cero además porque hoy no se exporta. Queda declarado porque es el tributo que aparecería si la cartera saliera del país</t>
        </is>
      </c>
    </row>
    <row r="39">
      <c r="B39" s="13" t="inlineStr">
        <is>
          <t>Impuesto al cheque</t>
        </is>
      </c>
      <c r="E39" s="28">
        <f>('Modelo de ingresos'!O26+'Modelo de Egresos'!O13)*$C$13</f>
        <v/>
      </c>
      <c r="F39" s="28">
        <f>('Modelo de ingresos'!O49+'Modelo de Egresos'!O26)*$C$13</f>
        <v/>
      </c>
      <c r="G39" s="28">
        <f>('Modelo de ingresos'!O72+'Modelo de Egresos'!O39)*$C$13</f>
        <v/>
      </c>
      <c r="H39" s="28">
        <f>('Modelo de ingresos'!O95+'Modelo de Egresos'!O52)*$C$13</f>
        <v/>
      </c>
      <c r="J39" s="24" t="inlineStr">
        <is>
          <t>Sobre los créditos (cobranzas) y los débitos (pagos) de la cuenta</t>
        </is>
      </c>
    </row>
    <row r="40">
      <c r="B40" s="13" t="inlineStr">
        <is>
          <t xml:space="preserve">    Pago a cuenta de Ganancias por el cheque</t>
        </is>
      </c>
      <c r="E40" s="28">
        <f>-E39*$C$14</f>
        <v/>
      </c>
      <c r="F40" s="28">
        <f>-F39*$C$14</f>
        <v/>
      </c>
      <c r="G40" s="28">
        <f>-G39*$C$14</f>
        <v/>
      </c>
      <c r="H40" s="28">
        <f>-H39*$C$14</f>
        <v/>
      </c>
      <c r="J40" s="24" t="inlineStr">
        <is>
          <t>El 33 % del impuesto al cheque se recupera contra Ganancias</t>
        </is>
      </c>
    </row>
    <row r="41"/>
    <row r="42">
      <c r="B42" s="9" t="inlineStr">
        <is>
          <t>Impuesto a las ganancias</t>
        </is>
      </c>
      <c r="C42" s="10" t="n"/>
      <c r="D42" s="10" t="n"/>
      <c r="E42" s="10" t="n"/>
      <c r="F42" s="10" t="n"/>
      <c r="G42" s="10" t="n"/>
      <c r="H42" s="10" t="n"/>
    </row>
    <row r="43">
      <c r="B43" s="13" t="inlineStr">
        <is>
          <t>Resultado antes de impuestos</t>
        </is>
      </c>
      <c r="E43" s="28">
        <f>'Modelo de ingresos'!O26-'Modelo de Egresos'!O13-'Amortizaciones'!G14-E35</f>
        <v/>
      </c>
      <c r="F43" s="28">
        <f>'Modelo de ingresos'!O49-'Modelo de Egresos'!O26-'Amortizaciones'!H14-F35</f>
        <v/>
      </c>
      <c r="G43" s="28">
        <f>'Modelo de ingresos'!O72-'Modelo de Egresos'!O39-'Amortizaciones'!I14-G35</f>
        <v/>
      </c>
      <c r="H43" s="28">
        <f>'Modelo de ingresos'!O95-'Modelo de Egresos'!O52-'Amortizaciones'!J14-H35</f>
        <v/>
      </c>
      <c r="J43" s="24" t="inlineStr">
        <is>
          <t>Ingresos menos egresos, amortizaciones e ingresos brutos</t>
        </is>
      </c>
    </row>
    <row r="44">
      <c r="B44" s="13" t="inlineStr">
        <is>
          <t>Ganancias a alícuota plena</t>
        </is>
      </c>
      <c r="E44" s="28">
        <f>MAX(0,E43)*$C$15</f>
        <v/>
      </c>
      <c r="F44" s="28">
        <f>MAX(0,F43)*$C$15</f>
        <v/>
      </c>
      <c r="G44" s="28">
        <f>MAX(0,G43)*$C$15</f>
        <v/>
      </c>
      <c r="H44" s="28">
        <f>MAX(0,H43)*$C$15</f>
        <v/>
      </c>
    </row>
    <row r="45">
      <c r="B45" s="13" t="inlineStr">
        <is>
          <t xml:space="preserve">    Reducción por Economía del Conocimiento</t>
        </is>
      </c>
      <c r="E45" s="28">
        <f>-E44*$C$22*$C$21</f>
        <v/>
      </c>
      <c r="F45" s="28">
        <f>-F44*$C$22*$C$21</f>
        <v/>
      </c>
      <c r="G45" s="28">
        <f>-G44*$C$22*$C$21</f>
        <v/>
      </c>
      <c r="H45" s="28">
        <f>-H44*$C$22*$C$21</f>
        <v/>
      </c>
    </row>
    <row r="46">
      <c r="B46" s="20" t="inlineStr">
        <is>
          <t>Ganancias a pagar</t>
        </is>
      </c>
      <c r="E46" s="29">
        <f>MAX(0,E44+E45+E40)</f>
        <v/>
      </c>
      <c r="F46" s="29">
        <f>MAX(0,F44+F45+F40)</f>
        <v/>
      </c>
      <c r="G46" s="29">
        <f>MAX(0,G44+G45+G40)</f>
        <v/>
      </c>
      <c r="H46" s="29">
        <f>MAX(0,H44+H45+H40)</f>
        <v/>
      </c>
    </row>
    <row r="47"/>
    <row r="48">
      <c r="B48" s="9" t="inlineStr">
        <is>
          <t>Beneficio del régimen de promoción</t>
        </is>
      </c>
      <c r="C48" s="10" t="n"/>
      <c r="D48" s="10" t="n"/>
      <c r="E48" s="10" t="n"/>
      <c r="F48" s="10" t="n"/>
      <c r="G48" s="10" t="n"/>
      <c r="H48" s="10" t="n"/>
    </row>
    <row r="49">
      <c r="B49" s="13" t="inlineStr">
        <is>
          <t>Bono de crédito fiscal sobre contribuciones patronales</t>
        </is>
      </c>
      <c r="E49" s="28">
        <f>'RRHH'!O47*$C$23*$C$21</f>
        <v/>
      </c>
      <c r="F49" s="28">
        <f>'RRHH'!O62*$C$23*$C$21</f>
        <v/>
      </c>
      <c r="G49" s="28">
        <f>'RRHH'!O77*$C$23*$C$21</f>
        <v/>
      </c>
      <c r="H49" s="28">
        <f>'RRHH'!O92*$C$23*$C$21</f>
        <v/>
      </c>
      <c r="J49" s="24" t="inlineStr">
        <is>
          <t>Cancela IVA y otros tributos nacionales. Se muestra como lo que es: un crédito contra impuestos, no una baja del costo laboral</t>
        </is>
      </c>
    </row>
    <row r="50">
      <c r="B50" s="13" t="inlineStr">
        <is>
          <t xml:space="preserve">    Bono aplicado a Ganancias</t>
        </is>
      </c>
      <c r="E50" s="28">
        <f>MIN(E49,E46)</f>
        <v/>
      </c>
      <c r="F50" s="28">
        <f>MIN(F49,F46)</f>
        <v/>
      </c>
      <c r="G50" s="28">
        <f>MIN(G49,G46)</f>
        <v/>
      </c>
      <c r="H50" s="28">
        <f>MIN(H49,H46)</f>
        <v/>
      </c>
      <c r="J50" s="24" t="inlineStr">
        <is>
          <t>Esta parte sí baja el costo del proyecto: es impuesto que no se paga</t>
        </is>
      </c>
    </row>
    <row r="51">
      <c r="B51" s="13" t="inlineStr">
        <is>
          <t xml:space="preserve">    Bono aplicado a IVA</t>
        </is>
      </c>
      <c r="E51" s="28">
        <f>MIN(E49-E50,E32)</f>
        <v/>
      </c>
      <c r="F51" s="28">
        <f>MIN(F49-F50,F32)</f>
        <v/>
      </c>
      <c r="G51" s="28">
        <f>MIN(G49-G50,G32)</f>
        <v/>
      </c>
      <c r="H51" s="28">
        <f>MIN(H49-H50,H32)</f>
        <v/>
      </c>
      <c r="J51" s="24" t="inlineStr">
        <is>
          <t>El IVA es neutro para el resultado, así que esta parte del bono no baja el costo: mejora la caja. Se muestra separada a propósito, porque sumarla al ahorro impositivo infla un beneficio que no existe</t>
        </is>
      </c>
    </row>
    <row r="52">
      <c r="B52" s="13" t="inlineStr">
        <is>
          <t xml:space="preserve">    Bono sin usar</t>
        </is>
      </c>
      <c r="E52" s="28">
        <f>E49-E50-E51</f>
        <v/>
      </c>
      <c r="F52" s="28">
        <f>F49-F50-F51</f>
        <v/>
      </c>
      <c r="G52" s="28">
        <f>G49-G50-G51</f>
        <v/>
      </c>
      <c r="H52" s="28">
        <f>H49-H50-H51</f>
        <v/>
      </c>
      <c r="J52" s="24" t="inlineStr">
        <is>
          <t>El bono no se puede usar más allá de los impuestos nacionales que haya para pagar. Lo que sobra se pierde: es el techo real del beneficio</t>
        </is>
      </c>
    </row>
    <row r="53"/>
    <row r="54">
      <c r="B54" s="9" t="inlineStr">
        <is>
          <t>Carga tributaria del proyecto</t>
        </is>
      </c>
      <c r="C54" s="10" t="n"/>
      <c r="D54" s="10" t="n"/>
      <c r="E54" s="10" t="n"/>
      <c r="F54" s="10" t="n"/>
      <c r="G54" s="10" t="n"/>
      <c r="H54" s="10" t="n"/>
    </row>
    <row r="55">
      <c r="B55" s="20" t="inlineStr">
        <is>
          <t>Total de impuestos que son costo</t>
        </is>
      </c>
      <c r="E55" s="29">
        <f>E35+E37+E38+E36+E39+E46-E50</f>
        <v/>
      </c>
      <c r="F55" s="29">
        <f>F35+F37+F38+F36+F39+F46-F50</f>
        <v/>
      </c>
      <c r="G55" s="29">
        <f>G35+G37+G38+G36+G39+G46-G50</f>
        <v/>
      </c>
      <c r="H55" s="29">
        <f>H35+H37+H38+H36+H39+H46-H50</f>
        <v/>
      </c>
      <c r="J55" s="24" t="inlineStr">
        <is>
          <t>Es lo que el flujo de fondos descuenta. El IVA no está: es neutro</t>
        </is>
      </c>
    </row>
    <row r="56">
      <c r="B56" s="13" t="inlineStr">
        <is>
          <t>Presión tributaria sobre las ventas</t>
        </is>
      </c>
      <c r="E56" s="16">
        <f>IFERROR(E55/'Modelo de ingresos'!O26,0)</f>
        <v/>
      </c>
      <c r="F56" s="16">
        <f>IFERROR(F55/'Modelo de ingresos'!O49,0)</f>
        <v/>
      </c>
      <c r="G56" s="16">
        <f>IFERROR(G55/'Modelo de ingresos'!O72,0)</f>
        <v/>
      </c>
      <c r="H56" s="16">
        <f>IFERROR(H55/'Modelo de ingresos'!O95,0)</f>
        <v/>
      </c>
      <c r="J56" s="24" t="inlineStr">
        <is>
          <t>Total de impuestos sobre la facturación del año</t>
        </is>
      </c>
    </row>
    <row r="57"/>
    <row r="58"/>
    <row r="59">
      <c r="B59" s="9" t="inlineStr">
        <is>
          <t>Tributos que no alcanzan a este proyecto, y por qué</t>
        </is>
      </c>
      <c r="C59" s="10" t="n"/>
      <c r="D59" s="10" t="n"/>
      <c r="E59" s="10" t="n"/>
      <c r="F59" s="10" t="n"/>
      <c r="G59" s="10" t="n"/>
      <c r="H59" s="10" t="n"/>
    </row>
    <row r="60" ht="30" customHeight="1">
      <c r="B60" s="40" t="inlineStr">
        <is>
          <t>Tributos aduaneros (derechos de importación y exportación, específicos, ad valorem, antidumping)</t>
        </is>
      </c>
      <c r="E60" s="24" t="inlineStr">
        <is>
          <t>No se importan ni se exportan bienes. El software se entrega por la red y los servicios del exterior que sí se contratan —nube y APIs— no son mercadería: tributan por el régimen de importación de servicios digitales, que está arriba</t>
        </is>
      </c>
    </row>
    <row r="61" ht="30" customHeight="1">
      <c r="B61" s="40" t="inlineStr">
        <is>
          <t>Patentes de automotor</t>
        </is>
      </c>
      <c r="E61" s="24" t="inlineStr">
        <is>
          <t>El proyecto no tiene vehículos. Las visitas a cliente son remotas o en transporte público, y están en otros gastos operativos</t>
        </is>
      </c>
    </row>
    <row r="62" ht="30" customHeight="1">
      <c r="B62" s="40" t="inlineStr">
        <is>
          <t>Impuesto inmobiliario</t>
        </is>
      </c>
      <c r="E62" s="24" t="inlineStr">
        <is>
          <t>No hay inmueble propio: el espacio de trabajo es un coworking por puesto, y el alquiler ya está en los costos fijos</t>
        </is>
      </c>
    </row>
    <row r="63" ht="30" customHeight="1">
      <c r="B63" s="40" t="inlineStr">
        <is>
          <t>Impuesto sobre los bienes personales — acciones y participaciones</t>
        </is>
      </c>
      <c r="E63" s="24" t="inlineStr">
        <is>
          <t>Lo tributa la sociedad por cuenta de los socios (0,50 % sobre el patrimonio neto). Con el patrimonio de los primeros años el importe es marginal y no se modela; queda declarado para revisarlo cuando el patrimonio crezca</t>
        </is>
      </c>
    </row>
    <row r="64" ht="30" customHeight="1">
      <c r="B64" s="40" t="inlineStr">
        <is>
          <t>Percepciones y retenciones de IVA e Ingresos brutos</t>
        </is>
      </c>
      <c r="E64" s="24" t="inlineStr">
        <is>
          <t>No son un tributo distinto: son anticipos de los que ya están liquidados arriba. Afectan la caja y el capital de trabajo, no el resultado</t>
        </is>
      </c>
    </row>
  </sheetData>
  <mergeCells count="6">
    <mergeCell ref="E64:I64"/>
    <mergeCell ref="E62:I62"/>
    <mergeCell ref="E63:I63"/>
    <mergeCell ref="B2:H2"/>
    <mergeCell ref="E61:I61"/>
    <mergeCell ref="E60:I60"/>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3.xml><?xml version="1.0" encoding="utf-8"?>
<worksheet xmlns="http://schemas.openxmlformats.org/spreadsheetml/2006/main">
  <sheetPr>
    <tabColor rgb="002E75B6"/>
    <outlinePr summaryBelow="1" summaryRight="1"/>
    <pageSetUpPr/>
  </sheetPr>
  <dimension ref="A1:J28"/>
  <sheetViews>
    <sheetView showGridLines="0" workbookViewId="0">
      <pane xSplit="2" topLeftCell="C1" activePane="topRight" state="frozen"/>
      <selection pane="topRight" activeCell="A1" sqref="A1"/>
    </sheetView>
  </sheetViews>
  <sheetFormatPr baseColWidth="8" defaultRowHeight="15"/>
  <cols>
    <col width="3" customWidth="1" min="1" max="1"/>
    <col width="46" customWidth="1" min="2" max="2"/>
    <col width="12" customWidth="1" min="3" max="3"/>
    <col width="17" customWidth="1" min="5" max="5"/>
    <col width="17" customWidth="1" min="6" max="6"/>
    <col width="17" customWidth="1" min="7" max="7"/>
    <col width="17" customWidth="1" min="8" max="8"/>
    <col width="76" customWidth="1" min="10" max="10"/>
  </cols>
  <sheetData>
    <row r="1">
      <c r="A1" s="7" t="inlineStr">
        <is>
          <t>« Inicio</t>
        </is>
      </c>
    </row>
    <row r="2" ht="24" customHeight="1">
      <c r="B2" s="8" t="inlineStr">
        <is>
          <t>MÉTRICAS SaaS</t>
        </is>
      </c>
    </row>
    <row r="3">
      <c r="B3" s="3" t="inlineStr">
        <is>
          <t>Las métricas con las que se mide un negocio por suscripción (Clase 2). Dicen si el negocio se sostiene solo, y se responden antes que el VAN: un proyecto con LTV menor al CAC no mejora por crecer, empeora.</t>
        </is>
      </c>
    </row>
    <row r="4"/>
    <row r="5">
      <c r="B5" s="20" t="inlineStr">
        <is>
          <t>Métrica</t>
        </is>
      </c>
      <c r="E5" s="11" t="n">
        <v>2027</v>
      </c>
      <c r="F5" s="11" t="n">
        <v>2028</v>
      </c>
      <c r="G5" s="11" t="n">
        <v>2029</v>
      </c>
      <c r="H5" s="11" t="n">
        <v>2030</v>
      </c>
    </row>
    <row r="6">
      <c r="B6" s="9" t="inlineStr">
        <is>
          <t>Crecimiento</t>
        </is>
      </c>
      <c r="C6" s="10" t="n"/>
      <c r="D6" s="10" t="n"/>
      <c r="E6" s="10" t="n"/>
      <c r="F6" s="10" t="n"/>
      <c r="G6" s="10" t="n"/>
      <c r="H6" s="10" t="n"/>
    </row>
    <row r="7">
      <c r="B7" s="13" t="inlineStr">
        <is>
          <t>Clientes activos al cierre</t>
        </is>
      </c>
      <c r="E7" s="25">
        <f>'Proyección de ventas'!N33</f>
        <v/>
      </c>
      <c r="F7" s="25">
        <f>'Proyección de ventas'!N63</f>
        <v/>
      </c>
      <c r="G7" s="25">
        <f>'Proyección de ventas'!N93</f>
        <v/>
      </c>
      <c r="H7" s="25">
        <f>'Proyección de ventas'!N123</f>
        <v/>
      </c>
    </row>
    <row r="8">
      <c r="B8" s="13" t="inlineStr">
        <is>
          <t>Clientes nuevos en el año</t>
        </is>
      </c>
      <c r="E8" s="25">
        <f>'Proyección de ventas'!N33</f>
        <v/>
      </c>
      <c r="F8" s="25">
        <f>'Proyección de ventas'!N63-'Proyección de ventas'!N33</f>
        <v/>
      </c>
      <c r="G8" s="25">
        <f>'Proyección de ventas'!N93-'Proyección de ventas'!N63</f>
        <v/>
      </c>
      <c r="H8" s="25">
        <f>'Proyección de ventas'!N123-'Proyección de ventas'!N93</f>
        <v/>
      </c>
      <c r="J8" s="24" t="inlineStr">
        <is>
          <t>Altas netas de bajas: es lo que efectivamente crece la cartera</t>
        </is>
      </c>
    </row>
    <row r="9">
      <c r="B9" s="20" t="inlineStr">
        <is>
          <t>MRR — ingreso recurrente mensual al cierre</t>
        </is>
      </c>
      <c r="E9" s="29">
        <f>'Modelo de ingresos'!N26</f>
        <v/>
      </c>
      <c r="F9" s="29">
        <f>'Modelo de ingresos'!N49</f>
        <v/>
      </c>
      <c r="G9" s="29">
        <f>'Modelo de ingresos'!N72</f>
        <v/>
      </c>
      <c r="H9" s="29">
        <f>'Modelo de ingresos'!N95</f>
        <v/>
      </c>
      <c r="J9" s="24" t="inlineStr">
        <is>
          <t>Facturación del mes de diciembre. Es la métrica de crecimiento de un negocio por suscripción: no la facturación del año, que mezcla meses con carteras distintas</t>
        </is>
      </c>
    </row>
    <row r="10">
      <c r="B10" s="20" t="inlineStr">
        <is>
          <t>ARR — ingreso recurrente anual</t>
        </is>
      </c>
      <c r="E10" s="29">
        <f>E9*12</f>
        <v/>
      </c>
      <c r="F10" s="29">
        <f>F9*12</f>
        <v/>
      </c>
      <c r="G10" s="29">
        <f>G9*12</f>
        <v/>
      </c>
      <c r="H10" s="29">
        <f>H9*12</f>
        <v/>
      </c>
      <c r="J10" s="24" t="inlineStr">
        <is>
          <t>MRR por doce: lo que factura la cartera si dejara de crecer hoy</t>
        </is>
      </c>
    </row>
    <row r="11">
      <c r="B11" s="13" t="inlineStr">
        <is>
          <t>ARPU — ingreso medio por cliente por mes</t>
        </is>
      </c>
      <c r="E11" s="28">
        <f>IFERROR(E9/E7,0)</f>
        <v/>
      </c>
      <c r="F11" s="28">
        <f>IFERROR(F9/F7,0)</f>
        <v/>
      </c>
      <c r="G11" s="28">
        <f>IFERROR(G9/G7,0)</f>
        <v/>
      </c>
      <c r="H11" s="28">
        <f>IFERROR(H9/H7,0)</f>
        <v/>
      </c>
    </row>
    <row r="12"/>
    <row r="13">
      <c r="B13" s="9" t="inlineStr">
        <is>
          <t>Retención</t>
        </is>
      </c>
      <c r="C13" s="10" t="n"/>
      <c r="D13" s="10" t="n"/>
      <c r="E13" s="10" t="n"/>
      <c r="F13" s="10" t="n"/>
      <c r="G13" s="10" t="n"/>
      <c r="H13" s="10" t="n"/>
    </row>
    <row r="14">
      <c r="B14" s="13" t="inlineStr">
        <is>
          <t>Churn mensual</t>
        </is>
      </c>
      <c r="E14" s="36">
        <f>Hipótesis!$C$50</f>
        <v/>
      </c>
      <c r="F14" s="36">
        <f>Hipótesis!$D$50</f>
        <v/>
      </c>
      <c r="G14" s="36">
        <f>Hipótesis!$E$50</f>
        <v/>
      </c>
      <c r="H14" s="36">
        <f>Hipótesis!$F$50</f>
        <v/>
      </c>
      <c r="J14" s="24" t="inlineStr">
        <is>
          <t>Tasa de baja de la hoja Hipótesis</t>
        </is>
      </c>
    </row>
    <row r="15">
      <c r="B15" s="13" t="inlineStr">
        <is>
          <t>Vida media del cliente, en meses</t>
        </is>
      </c>
      <c r="E15" s="25">
        <f>IFERROR(1/E14,0)</f>
        <v/>
      </c>
      <c r="F15" s="25">
        <f>IFERROR(1/F14,0)</f>
        <v/>
      </c>
      <c r="G15" s="25">
        <f>IFERROR(1/G14,0)</f>
        <v/>
      </c>
      <c r="H15" s="25">
        <f>IFERROR(1/H14,0)</f>
        <v/>
      </c>
      <c r="J15" s="24" t="inlineStr">
        <is>
          <t>La inversa del churn. Con 4 % mensual, un cliente dura 25 meses</t>
        </is>
      </c>
    </row>
    <row r="16"/>
    <row r="17">
      <c r="B17" s="9" t="inlineStr">
        <is>
          <t>Economía unitaria</t>
        </is>
      </c>
      <c r="C17" s="10" t="n"/>
      <c r="D17" s="10" t="n"/>
      <c r="E17" s="10" t="n"/>
      <c r="F17" s="10" t="n"/>
      <c r="G17" s="10" t="n"/>
      <c r="H17" s="10" t="n"/>
    </row>
    <row r="18">
      <c r="B18" s="13" t="inlineStr">
        <is>
          <t>Margen bruto</t>
        </is>
      </c>
      <c r="E18" s="16">
        <f>IFERROR(1-'Costos Variables'!O14/'Modelo de ingresos'!O26,0)</f>
        <v/>
      </c>
      <c r="F18" s="16">
        <f>IFERROR(1-'Costos Variables'!O24/'Modelo de ingresos'!O49,0)</f>
        <v/>
      </c>
      <c r="G18" s="16">
        <f>IFERROR(1-'Costos Variables'!O34/'Modelo de ingresos'!O72,0)</f>
        <v/>
      </c>
      <c r="H18" s="16">
        <f>IFERROR(1-'Costos Variables'!O44/'Modelo de ingresos'!O95,0)</f>
        <v/>
      </c>
      <c r="J18" s="24" t="inlineStr">
        <is>
          <t>Ingresos menos costo variable, sobre ingresos. Alto porque el costo variable de un cliente de software es infraestructura y soporte, no producto</t>
        </is>
      </c>
    </row>
    <row r="19">
      <c r="B19" s="20" t="inlineStr">
        <is>
          <t>LTV — valor del cliente a lo largo de su vida</t>
        </is>
      </c>
      <c r="E19" s="29">
        <f>E11*E18*E15</f>
        <v/>
      </c>
      <c r="F19" s="29">
        <f>F11*F18*F15</f>
        <v/>
      </c>
      <c r="G19" s="29">
        <f>G11*G18*G15</f>
        <v/>
      </c>
      <c r="H19" s="29">
        <f>H11*H18*H15</f>
        <v/>
      </c>
      <c r="J19" s="24" t="inlineStr">
        <is>
          <t>ARPU por margen bruto por vida media. Es el margen que deja un cliente antes de descontar lo que costó conseguirlo</t>
        </is>
      </c>
    </row>
    <row r="20">
      <c r="B20" s="13" t="inlineStr">
        <is>
          <t>Gasto comercial y de marketing del año</t>
        </is>
      </c>
      <c r="E20" s="28">
        <f>('Costos Fijos'!C15*12)+'RRHH'!O41+'RRHH'!O44</f>
        <v/>
      </c>
      <c r="F20" s="28">
        <f>('Costos Fijos'!D15*12)+'RRHH'!O56+'RRHH'!O59</f>
        <v/>
      </c>
      <c r="G20" s="28">
        <f>('Costos Fijos'!E15*12)+'RRHH'!O71+'RRHH'!O74</f>
        <v/>
      </c>
      <c r="H20" s="28">
        <f>('Costos Fijos'!F15*12)+'RRHH'!O86+'RRHH'!O89</f>
        <v/>
      </c>
      <c r="J20" s="24" t="inlineStr">
        <is>
          <t>Marketing de la hoja de costos fijos más los sueldos del rol comercial y del rol de marketing. No se prorratea nada más: si se le suma estructura, el CAC deja de ser comparable con el del mercado</t>
        </is>
      </c>
    </row>
    <row r="21">
      <c r="B21" s="20" t="inlineStr">
        <is>
          <t>CAC — costo de adquirir un cliente</t>
        </is>
      </c>
      <c r="E21" s="29">
        <f>IFERROR(E20/E8,0)</f>
        <v/>
      </c>
      <c r="F21" s="29">
        <f>IFERROR(F20/F8,0)</f>
        <v/>
      </c>
      <c r="G21" s="29">
        <f>IFERROR(G20/G8,0)</f>
        <v/>
      </c>
      <c r="H21" s="29">
        <f>IFERROR(H20/H8,0)</f>
        <v/>
      </c>
    </row>
    <row r="22">
      <c r="B22" s="20" t="inlineStr">
        <is>
          <t>LTV / CAC</t>
        </is>
      </c>
      <c r="E22" s="30">
        <f>IFERROR(E19/E21,0)</f>
        <v/>
      </c>
      <c r="F22" s="30">
        <f>IFERROR(F19/F21,0)</f>
        <v/>
      </c>
      <c r="G22" s="30">
        <f>IFERROR(G19/G21,0)</f>
        <v/>
      </c>
      <c r="H22" s="30">
        <f>IFERROR(H19/H21,0)</f>
        <v/>
      </c>
      <c r="J22" s="24" t="inlineStr">
        <is>
          <t>La regla del sector es 3 o más. Por debajo de 1 el negocio pierde plata con cada cliente que suma, y crecer lo empeora</t>
        </is>
      </c>
    </row>
    <row r="23">
      <c r="B23" s="13" t="inlineStr">
        <is>
          <t>Meses para recuperar el CAC</t>
        </is>
      </c>
      <c r="E23" s="25">
        <f>IFERROR(E21/(E11*E18),0)</f>
        <v/>
      </c>
      <c r="F23" s="25">
        <f>IFERROR(F21/(F11*F18),0)</f>
        <v/>
      </c>
      <c r="G23" s="25">
        <f>IFERROR(G21/(G11*G18),0)</f>
        <v/>
      </c>
      <c r="H23" s="25">
        <f>IFERROR(H21/(H11*H18),0)</f>
        <v/>
      </c>
      <c r="J23" s="24" t="inlineStr">
        <is>
          <t>Cuántos meses de margen bruto hacen falta para pagar la adquisición. Por debajo de 12 se considera sano; es lo que determina cuánta caja consume crecer</t>
        </is>
      </c>
    </row>
    <row r="24"/>
    <row r="25"/>
    <row r="26">
      <c r="B26" s="9" t="inlineStr">
        <is>
          <t>Cómo se lee esto</t>
        </is>
      </c>
      <c r="C26" s="10" t="n"/>
      <c r="D26" s="10" t="n"/>
      <c r="E26" s="10" t="n"/>
      <c r="F26" s="10" t="n"/>
      <c r="G26" s="10" t="n"/>
      <c r="H26" s="10" t="n"/>
    </row>
    <row r="27" ht="28" customHeight="1">
      <c r="B27" s="24" t="inlineStr">
        <is>
          <t>El LTV/CAC y los meses de recuperación del CAC son las dos métricas que explican por qué el proyecto necesita capital antes de dar ganancia: cada cliente se paga por adelantado y se cobra a lo largo de su vida.</t>
        </is>
      </c>
    </row>
    <row r="28" ht="28" customHeight="1">
      <c r="B28" s="24" t="inlineStr">
        <is>
          <t>Si el LTV/CAC diera menos de 1, el problema no se arregla vendiendo más. Ese es exactamente el contraste que estas filas permiten hacer y que el punto de equilibrio solo no muestra.</t>
        </is>
      </c>
    </row>
  </sheetData>
  <mergeCells count="3">
    <mergeCell ref="B28:I28"/>
    <mergeCell ref="B27:I27"/>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4.xml><?xml version="1.0" encoding="utf-8"?>
<worksheet xmlns="http://schemas.openxmlformats.org/spreadsheetml/2006/main">
  <sheetPr>
    <tabColor rgb="00FFC000"/>
    <outlinePr summaryBelow="1" summaryRight="1"/>
    <pageSetUpPr/>
  </sheetPr>
  <dimension ref="A1:H15"/>
  <sheetViews>
    <sheetView showGridLines="0" workbookViewId="0">
      <pane xSplit="2" topLeftCell="C1" activePane="topRight" state="frozen"/>
      <selection pane="topRight" activeCell="A1" sqref="A1"/>
    </sheetView>
  </sheetViews>
  <sheetFormatPr baseColWidth="8" defaultRowHeight="15"/>
  <cols>
    <col width="3" customWidth="1" min="1" max="1"/>
    <col width="34" customWidth="1" min="2" max="2"/>
    <col width="16" customWidth="1" min="3" max="3"/>
    <col width="16" customWidth="1" min="4" max="4"/>
    <col width="16" customWidth="1" min="5" max="5"/>
    <col width="16" customWidth="1" min="6" max="6"/>
  </cols>
  <sheetData>
    <row r="1">
      <c r="A1" s="7" t="inlineStr">
        <is>
          <t>« Inicio</t>
        </is>
      </c>
    </row>
    <row r="2" ht="24" customHeight="1">
      <c r="B2" s="8" t="inlineStr">
        <is>
          <t>GRÁFICOS</t>
        </is>
      </c>
    </row>
    <row r="3">
      <c r="B3" s="3" t="inlineStr">
        <is>
          <t>La operación en cuatro imágenes. Los datos de abajo no están tipeados: son fórmulas que apuntan a las hojas de origen, así que los gráficos siguen al modelo cuando cambia un supuesto. Sólo usan hojas de esta entrega, para que viajen con ella.</t>
        </is>
      </c>
    </row>
    <row r="4"/>
    <row r="5">
      <c r="B5" s="9" t="inlineStr">
        <is>
          <t>Datos de los gráficos</t>
        </is>
      </c>
      <c r="C5" s="10" t="n"/>
      <c r="D5" s="10" t="n"/>
      <c r="E5" s="10" t="n"/>
      <c r="F5" s="10" t="n"/>
      <c r="G5" s="10" t="n"/>
      <c r="H5" s="10" t="n"/>
    </row>
    <row r="6">
      <c r="B6" s="20" t="inlineStr">
        <is>
          <t>Concepto</t>
        </is>
      </c>
      <c r="C6" s="11" t="n">
        <v>2027</v>
      </c>
      <c r="D6" s="11" t="n">
        <v>2028</v>
      </c>
      <c r="E6" s="11" t="n">
        <v>2029</v>
      </c>
      <c r="F6" s="11" t="n">
        <v>2030</v>
      </c>
    </row>
    <row r="7">
      <c r="B7" s="13" t="inlineStr">
        <is>
          <t>Ingresos</t>
        </is>
      </c>
      <c r="C7" s="28">
        <f>'Modelo de ingresos'!O26</f>
        <v/>
      </c>
      <c r="D7" s="28">
        <f>'Modelo de ingresos'!O49</f>
        <v/>
      </c>
      <c r="E7" s="28">
        <f>'Modelo de ingresos'!O72</f>
        <v/>
      </c>
      <c r="F7" s="28">
        <f>'Modelo de ingresos'!O95</f>
        <v/>
      </c>
    </row>
    <row r="8">
      <c r="B8" s="13" t="inlineStr">
        <is>
          <t>Egresos</t>
        </is>
      </c>
      <c r="C8" s="28">
        <f>'Modelo de Egresos'!O13</f>
        <v/>
      </c>
      <c r="D8" s="28">
        <f>'Modelo de Egresos'!O26</f>
        <v/>
      </c>
      <c r="E8" s="28">
        <f>'Modelo de Egresos'!O39</f>
        <v/>
      </c>
      <c r="F8" s="28">
        <f>'Modelo de Egresos'!O52</f>
        <v/>
      </c>
    </row>
    <row r="9">
      <c r="B9" s="13" t="inlineStr">
        <is>
          <t>Resultado operativo</t>
        </is>
      </c>
      <c r="C9" s="28">
        <f>'Modelo de Egresos'!O16</f>
        <v/>
      </c>
      <c r="D9" s="28">
        <f>'Modelo de Egresos'!O29</f>
        <v/>
      </c>
      <c r="E9" s="28">
        <f>'Modelo de Egresos'!O42</f>
        <v/>
      </c>
      <c r="F9" s="28">
        <f>'Modelo de Egresos'!O55</f>
        <v/>
      </c>
    </row>
    <row r="10">
      <c r="B10" s="13" t="inlineStr">
        <is>
          <t>Costos fijos</t>
        </is>
      </c>
      <c r="C10" s="28">
        <f>'Modelo de Egresos'!O10</f>
        <v/>
      </c>
      <c r="D10" s="28">
        <f>'Modelo de Egresos'!O23</f>
        <v/>
      </c>
      <c r="E10" s="28">
        <f>'Modelo de Egresos'!O36</f>
        <v/>
      </c>
      <c r="F10" s="28">
        <f>'Modelo de Egresos'!O49</f>
        <v/>
      </c>
    </row>
    <row r="11">
      <c r="B11" s="13" t="inlineStr">
        <is>
          <t>Costos variables</t>
        </is>
      </c>
      <c r="C11" s="28">
        <f>'Modelo de Egresos'!O11</f>
        <v/>
      </c>
      <c r="D11" s="28">
        <f>'Modelo de Egresos'!O24</f>
        <v/>
      </c>
      <c r="E11" s="28">
        <f>'Modelo de Egresos'!O37</f>
        <v/>
      </c>
      <c r="F11" s="28">
        <f>'Modelo de Egresos'!O50</f>
        <v/>
      </c>
    </row>
    <row r="12">
      <c r="B12" s="13" t="inlineStr">
        <is>
          <t>Costos de RRHH</t>
        </is>
      </c>
      <c r="C12" s="28">
        <f>'Modelo de Egresos'!O12</f>
        <v/>
      </c>
      <c r="D12" s="28">
        <f>'Modelo de Egresos'!O25</f>
        <v/>
      </c>
      <c r="E12" s="28">
        <f>'Modelo de Egresos'!O38</f>
        <v/>
      </c>
      <c r="F12" s="28">
        <f>'Modelo de Egresos'!O51</f>
        <v/>
      </c>
    </row>
    <row r="13">
      <c r="B13" s="13" t="inlineStr">
        <is>
          <t>Clientes al cierre</t>
        </is>
      </c>
      <c r="C13" s="25">
        <f>'Proyección de ventas'!N33</f>
        <v/>
      </c>
      <c r="D13" s="25">
        <f>'Proyección de ventas'!N63</f>
        <v/>
      </c>
      <c r="E13" s="25">
        <f>'Proyección de ventas'!N93</f>
        <v/>
      </c>
      <c r="F13" s="25">
        <f>'Proyección de ventas'!N123</f>
        <v/>
      </c>
    </row>
    <row r="14">
      <c r="B14" s="13" t="inlineStr">
        <is>
          <t>Equipos administrados</t>
        </is>
      </c>
      <c r="C14" s="28">
        <f>'Proyección de ventas'!N34</f>
        <v/>
      </c>
      <c r="D14" s="28">
        <f>'Proyección de ventas'!N64</f>
        <v/>
      </c>
      <c r="E14" s="28">
        <f>'Proyección de ventas'!N94</f>
        <v/>
      </c>
      <c r="F14" s="28">
        <f>'Proyección de ventas'!N124</f>
        <v/>
      </c>
    </row>
    <row r="15">
      <c r="B15" s="13" t="inlineStr">
        <is>
          <t>Personas en la plantilla</t>
        </is>
      </c>
      <c r="C15" s="28">
        <f>'RRHH'!N49</f>
        <v/>
      </c>
      <c r="D15" s="28">
        <f>'RRHH'!N64</f>
        <v/>
      </c>
      <c r="E15" s="28">
        <f>'RRHH'!N79</f>
        <v/>
      </c>
      <c r="F15" s="28">
        <f>'RRHH'!N94</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5.xml><?xml version="1.0" encoding="utf-8"?>
<worksheet xmlns="http://schemas.openxmlformats.org/spreadsheetml/2006/main">
  <sheetPr>
    <tabColor rgb="00FFC000"/>
    <outlinePr summaryBelow="1" summaryRight="1"/>
    <pageSetUpPr/>
  </sheetPr>
  <dimension ref="A1:H10"/>
  <sheetViews>
    <sheetView showGridLines="0" workbookViewId="0">
      <pane xSplit="2" topLeftCell="C1" activePane="topRight" state="frozen"/>
      <selection pane="topRight" activeCell="A1" sqref="A1"/>
    </sheetView>
  </sheetViews>
  <sheetFormatPr baseColWidth="8" defaultRowHeight="15"/>
  <cols>
    <col width="3" customWidth="1" min="1" max="1"/>
    <col width="34" customWidth="1" min="2" max="2"/>
    <col width="16" customWidth="1" min="3" max="3"/>
    <col width="16" customWidth="1" min="4" max="4"/>
    <col width="16" customWidth="1" min="5" max="5"/>
    <col width="16" customWidth="1" min="6" max="6"/>
  </cols>
  <sheetData>
    <row r="1">
      <c r="A1" s="7" t="inlineStr">
        <is>
          <t>« Inicio</t>
        </is>
      </c>
    </row>
    <row r="2" ht="24" customHeight="1">
      <c r="B2" s="8" t="inlineStr">
        <is>
          <t>GRÁFICOS DE LA EVALUACIÓN</t>
        </is>
      </c>
    </row>
    <row r="3">
      <c r="B3" s="3" t="inlineStr">
        <is>
          <t>Flujo de fondos y carga tributaria. Se separan de los gráficos de la operación porque dependen de hojas que van en la segunda entrega.</t>
        </is>
      </c>
    </row>
    <row r="4"/>
    <row r="5">
      <c r="B5" s="9" t="inlineStr">
        <is>
          <t>Datos de los gráficos</t>
        </is>
      </c>
      <c r="C5" s="10" t="n"/>
      <c r="D5" s="10" t="n"/>
      <c r="E5" s="10" t="n"/>
      <c r="F5" s="10" t="n"/>
      <c r="G5" s="10" t="n"/>
      <c r="H5" s="10" t="n"/>
    </row>
    <row r="6">
      <c r="B6" s="20" t="inlineStr">
        <is>
          <t>Concepto</t>
        </is>
      </c>
      <c r="C6" s="11" t="n">
        <v>2027</v>
      </c>
      <c r="D6" s="11" t="n">
        <v>2028</v>
      </c>
      <c r="E6" s="11" t="n">
        <v>2029</v>
      </c>
      <c r="F6" s="11" t="n">
        <v>2030</v>
      </c>
    </row>
    <row r="7">
      <c r="B7" s="13" t="inlineStr">
        <is>
          <t>Flujo de caja libre</t>
        </is>
      </c>
      <c r="C7" s="28">
        <f>'Flujo de Fondos'!E21</f>
        <v/>
      </c>
      <c r="D7" s="28">
        <f>'Flujo de Fondos'!F21</f>
        <v/>
      </c>
      <c r="E7" s="28">
        <f>'Flujo de Fondos'!G21</f>
        <v/>
      </c>
      <c r="F7" s="28">
        <f>'Flujo de Fondos'!H21</f>
        <v/>
      </c>
    </row>
    <row r="8">
      <c r="B8" s="13" t="inlineStr">
        <is>
          <t>Flujo acumulado</t>
        </is>
      </c>
      <c r="C8" s="28">
        <f>'Flujo de Fondos'!E22</f>
        <v/>
      </c>
      <c r="D8" s="28">
        <f>'Flujo de Fondos'!F22</f>
        <v/>
      </c>
      <c r="E8" s="28">
        <f>'Flujo de Fondos'!G22</f>
        <v/>
      </c>
      <c r="F8" s="28">
        <f>'Flujo de Fondos'!H22</f>
        <v/>
      </c>
    </row>
    <row r="9">
      <c r="B9" s="13" t="inlineStr">
        <is>
          <t>Impuestos que son costo</t>
        </is>
      </c>
      <c r="C9" s="28">
        <f>'Impuestos'!E55</f>
        <v/>
      </c>
      <c r="D9" s="28">
        <f>'Impuestos'!F55</f>
        <v/>
      </c>
      <c r="E9" s="28">
        <f>'Impuestos'!G55</f>
        <v/>
      </c>
      <c r="F9" s="28">
        <f>'Impuestos'!H55</f>
        <v/>
      </c>
    </row>
    <row r="10">
      <c r="B10" s="13" t="inlineStr">
        <is>
          <t>Presión tributaria sobre ventas</t>
        </is>
      </c>
      <c r="C10" s="16">
        <f>'Impuestos'!E56</f>
        <v/>
      </c>
      <c r="D10" s="16">
        <f>'Impuestos'!F56</f>
        <v/>
      </c>
      <c r="E10" s="16">
        <f>'Impuestos'!G56</f>
        <v/>
      </c>
      <c r="F10" s="16">
        <f>'Impuestos'!H56</f>
        <v/>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6.xml><?xml version="1.0" encoding="utf-8"?>
<worksheet xmlns="http://schemas.openxmlformats.org/spreadsheetml/2006/main">
  <sheetPr>
    <tabColor rgb="002E75B6"/>
    <outlinePr summaryBelow="1" summaryRight="1"/>
    <pageSetUpPr/>
  </sheetPr>
  <dimension ref="A1:I65"/>
  <sheetViews>
    <sheetView showGridLines="0" workbookViewId="0">
      <pane xSplit="3" ySplit="6" topLeftCell="D7"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26" customWidth="1" min="3" max="3"/>
    <col width="18" customWidth="1" min="4" max="4"/>
    <col width="18" customWidth="1" min="5" max="5"/>
    <col width="18" customWidth="1" min="6" max="6"/>
    <col width="18" customWidth="1" min="7" max="7"/>
    <col width="18" customWidth="1" min="8" max="8"/>
  </cols>
  <sheetData>
    <row r="1">
      <c r="A1" s="7" t="inlineStr">
        <is>
          <t>« Inicio</t>
        </is>
      </c>
    </row>
    <row r="2" ht="24" customHeight="1">
      <c r="B2" s="8" t="inlineStr">
        <is>
          <t>FLUJO DE FONDOS</t>
        </is>
      </c>
    </row>
    <row r="3">
      <c r="B3" s="3" t="inlineStr">
        <is>
          <t>Presupuesto financiero anual con los indicadores que cierran la evaluación del proyecto: VAN, TIR, punto de equilibrio y período de repago.</t>
        </is>
      </c>
    </row>
    <row r="4"/>
    <row r="5">
      <c r="B5" s="13" t="inlineStr">
        <is>
          <t>Meses de facturación inmovilizados en cuentas por cobrar</t>
        </is>
      </c>
      <c r="C5" s="17" t="n">
        <v>1</v>
      </c>
      <c r="E5" s="3" t="inlineStr">
        <is>
          <t>El cliente paga a 30 días. Cada peso de crecimiento de la facturación inmoviliza un mes de ventas: es la variación del capital de trabajo de la fórmula de la Clase 3, y en un negocio que crece rápido no es despreciable.</t>
        </is>
      </c>
    </row>
    <row r="6"/>
    <row r="7">
      <c r="E7" s="5" t="n">
        <v>2027</v>
      </c>
      <c r="F7" s="5" t="n">
        <v>2028</v>
      </c>
      <c r="G7" s="5" t="n">
        <v>2029</v>
      </c>
      <c r="H7" s="5" t="n">
        <v>2030</v>
      </c>
    </row>
    <row r="8">
      <c r="B8" s="20" t="inlineStr">
        <is>
          <t>Período</t>
        </is>
      </c>
      <c r="D8" s="11" t="n">
        <v>0</v>
      </c>
      <c r="E8" s="11" t="n">
        <v>1</v>
      </c>
      <c r="F8" s="11" t="n">
        <v>2</v>
      </c>
      <c r="G8" s="11" t="n">
        <v>3</v>
      </c>
      <c r="H8" s="11" t="n">
        <v>4</v>
      </c>
    </row>
    <row r="9">
      <c r="B9" s="20" t="inlineStr">
        <is>
          <t>Ingresos</t>
        </is>
      </c>
      <c r="E9" s="18">
        <f>'Modelo de ingresos'!O26</f>
        <v/>
      </c>
      <c r="F9" s="18">
        <f>'Modelo de ingresos'!O49</f>
        <v/>
      </c>
      <c r="G9" s="18">
        <f>'Modelo de ingresos'!O72</f>
        <v/>
      </c>
      <c r="H9" s="18">
        <f>'Modelo de ingresos'!O95</f>
        <v/>
      </c>
    </row>
    <row r="10">
      <c r="B10" s="13" t="inlineStr">
        <is>
          <t>Egresos</t>
        </is>
      </c>
      <c r="C10" s="13" t="inlineStr">
        <is>
          <t>Costos fijos</t>
        </is>
      </c>
      <c r="E10" s="28">
        <f>'Modelo de Egresos'!O10</f>
        <v/>
      </c>
      <c r="F10" s="28">
        <f>'Modelo de Egresos'!O23</f>
        <v/>
      </c>
      <c r="G10" s="28">
        <f>'Modelo de Egresos'!O36</f>
        <v/>
      </c>
      <c r="H10" s="28">
        <f>'Modelo de Egresos'!O49</f>
        <v/>
      </c>
    </row>
    <row r="11">
      <c r="B11" s="13" t="inlineStr"/>
      <c r="C11" s="13" t="inlineStr">
        <is>
          <t>Costos de RRHH</t>
        </is>
      </c>
      <c r="E11" s="28">
        <f>'Modelo de Egresos'!O12</f>
        <v/>
      </c>
      <c r="F11" s="28">
        <f>'Modelo de Egresos'!O25</f>
        <v/>
      </c>
      <c r="G11" s="28">
        <f>'Modelo de Egresos'!O38</f>
        <v/>
      </c>
      <c r="H11" s="28">
        <f>'Modelo de Egresos'!O51</f>
        <v/>
      </c>
    </row>
    <row r="12">
      <c r="B12" s="13" t="inlineStr"/>
      <c r="C12" s="13" t="inlineStr">
        <is>
          <t>Costos variables</t>
        </is>
      </c>
      <c r="E12" s="28">
        <f>'Modelo de Egresos'!O11</f>
        <v/>
      </c>
      <c r="F12" s="28">
        <f>'Modelo de Egresos'!O24</f>
        <v/>
      </c>
      <c r="G12" s="28">
        <f>'Modelo de Egresos'!O37</f>
        <v/>
      </c>
      <c r="H12" s="28">
        <f>'Modelo de Egresos'!O50</f>
        <v/>
      </c>
    </row>
    <row r="13">
      <c r="B13" s="20" t="inlineStr">
        <is>
          <t>EBITDA</t>
        </is>
      </c>
      <c r="C13" s="3" t="inlineStr">
        <is>
          <t>Ingresos menos costos operativos, antes de amortizaciones</t>
        </is>
      </c>
      <c r="E13" s="18">
        <f>E9-E10-E11-E12</f>
        <v/>
      </c>
      <c r="F13" s="18">
        <f>F9-F10-F11-F12</f>
        <v/>
      </c>
      <c r="G13" s="18">
        <f>G9-G10-G11-G12</f>
        <v/>
      </c>
      <c r="H13" s="18">
        <f>H9-H10-H11-H12</f>
        <v/>
      </c>
    </row>
    <row r="14">
      <c r="B14" s="13" t="inlineStr">
        <is>
          <t>Amortizaciones</t>
        </is>
      </c>
      <c r="E14" s="28">
        <f>'Amortizaciones'!G14</f>
        <v/>
      </c>
      <c r="F14" s="28">
        <f>'Amortizaciones'!H14</f>
        <v/>
      </c>
      <c r="G14" s="28">
        <f>'Amortizaciones'!I14</f>
        <v/>
      </c>
      <c r="H14" s="28">
        <f>'Amortizaciones'!J14</f>
        <v/>
      </c>
    </row>
    <row r="15">
      <c r="B15" s="20" t="inlineStr">
        <is>
          <t>EBIT (resultado operativo)</t>
        </is>
      </c>
      <c r="C15" s="3" t="inlineStr">
        <is>
          <t>EBITDA menos amortizaciones. Es el punto de partida del flujo de caja libre</t>
        </is>
      </c>
      <c r="E15" s="18">
        <f>E13-E14</f>
        <v/>
      </c>
      <c r="F15" s="18">
        <f>F13-F14</f>
        <v/>
      </c>
      <c r="G15" s="18">
        <f>G13-G14</f>
        <v/>
      </c>
      <c r="H15" s="18">
        <f>H13-H14</f>
        <v/>
      </c>
    </row>
    <row r="16">
      <c r="B16" s="13" t="inlineStr">
        <is>
          <t>Ingresos brutos y otros tributos</t>
        </is>
      </c>
      <c r="C16" s="13" t="inlineStr">
        <is>
          <t>de la hoja Impuestos</t>
        </is>
      </c>
      <c r="E16" s="28">
        <f>'Impuestos'!E55-'Impuestos'!E46</f>
        <v/>
      </c>
      <c r="F16" s="28">
        <f>'Impuestos'!F55-'Impuestos'!F46</f>
        <v/>
      </c>
      <c r="G16" s="28">
        <f>'Impuestos'!G55-'Impuestos'!G46</f>
        <v/>
      </c>
      <c r="H16" s="28">
        <f>'Impuestos'!H55-'Impuestos'!H46</f>
        <v/>
      </c>
    </row>
    <row r="17">
      <c r="B17" s="13" t="inlineStr">
        <is>
          <t>Impuesto a las ganancias</t>
        </is>
      </c>
      <c r="C17" s="13" t="inlineStr">
        <is>
          <t>neto del régimen de promoción</t>
        </is>
      </c>
      <c r="E17" s="28">
        <f>'Impuestos'!E46</f>
        <v/>
      </c>
      <c r="F17" s="28">
        <f>'Impuestos'!F46</f>
        <v/>
      </c>
      <c r="G17" s="28">
        <f>'Impuestos'!G46</f>
        <v/>
      </c>
      <c r="H17" s="28">
        <f>'Impuestos'!H46</f>
        <v/>
      </c>
    </row>
    <row r="18">
      <c r="B18" s="20" t="inlineStr">
        <is>
          <t>Resultado después de impuestos</t>
        </is>
      </c>
      <c r="E18" s="18">
        <f>E15-E16-E17</f>
        <v/>
      </c>
      <c r="F18" s="18">
        <f>F15-F16-F17</f>
        <v/>
      </c>
      <c r="G18" s="18">
        <f>G15-G16-G17</f>
        <v/>
      </c>
      <c r="H18" s="18">
        <f>H15-H16-H17</f>
        <v/>
      </c>
    </row>
    <row r="19">
      <c r="B19" s="13" t="inlineStr">
        <is>
          <t>Variación del capital de trabajo</t>
        </is>
      </c>
      <c r="C19" s="13" t="inlineStr">
        <is>
          <t>crédito a clientes</t>
        </is>
      </c>
      <c r="E19" s="28">
        <f>-(E9-D9)*$C$5/12</f>
        <v/>
      </c>
      <c r="F19" s="28">
        <f>-(F9-E9)*$C$5/12</f>
        <v/>
      </c>
      <c r="G19" s="28">
        <f>-(G9-F9)*$C$5/12</f>
        <v/>
      </c>
      <c r="H19" s="28">
        <f>-(H9-G9)*$C$5/12</f>
        <v/>
      </c>
    </row>
    <row r="20">
      <c r="B20" s="13" t="inlineStr">
        <is>
          <t>Inversión (CAPEX)</t>
        </is>
      </c>
      <c r="D20" s="28">
        <f>-'Modelo de Inversión'!F14</f>
        <v/>
      </c>
      <c r="E20" s="28">
        <f>-SUMIF('Modelo de Inversión'!$G$7:$G$13,1,'Modelo de Inversión'!$F$7:$F$13)</f>
        <v/>
      </c>
      <c r="F20" s="28">
        <f>-SUMIF('Modelo de Inversión'!$G$7:$G$13,2,'Modelo de Inversión'!$F$7:$F$13)</f>
        <v/>
      </c>
      <c r="G20" s="28">
        <f>-SUMIF('Modelo de Inversión'!$G$7:$G$13,3,'Modelo de Inversión'!$F$7:$F$13)</f>
        <v/>
      </c>
      <c r="H20" s="28">
        <f>-SUMIF('Modelo de Inversión'!$G$7:$G$13,4,'Modelo de Inversión'!$F$7:$F$13)</f>
        <v/>
      </c>
    </row>
    <row r="21">
      <c r="B21" s="20" t="inlineStr">
        <is>
          <t>Flujo de caja libre</t>
        </is>
      </c>
      <c r="C21" s="3" t="inlineStr">
        <is>
          <t>EBIT×(1−t) + Amortizaciones − ΔCapital de trabajo − CAPEX</t>
        </is>
      </c>
      <c r="D21" s="18">
        <f>D20</f>
        <v/>
      </c>
      <c r="E21" s="18">
        <f>E18+E14+E19+E20</f>
        <v/>
      </c>
      <c r="F21" s="18">
        <f>F18+F14+F19+F20</f>
        <v/>
      </c>
      <c r="G21" s="18">
        <f>G18+G14+G19+G20</f>
        <v/>
      </c>
      <c r="H21" s="18">
        <f>H18+H14+H19+H20</f>
        <v/>
      </c>
    </row>
    <row r="22">
      <c r="B22" s="13" t="inlineStr">
        <is>
          <t>Flujo acumulado</t>
        </is>
      </c>
      <c r="D22" s="28">
        <f>D21</f>
        <v/>
      </c>
      <c r="E22" s="28">
        <f>D22+E21</f>
        <v/>
      </c>
      <c r="F22" s="28">
        <f>E22+F21</f>
        <v/>
      </c>
      <c r="G22" s="28">
        <f>F22+G21</f>
        <v/>
      </c>
      <c r="H22" s="28">
        <f>G22+H21</f>
        <v/>
      </c>
    </row>
    <row r="23"/>
    <row r="24">
      <c r="B24" s="20" t="inlineStr">
        <is>
          <t>Valor terminal (cartera al cierre)</t>
        </is>
      </c>
      <c r="D24" s="3" t="inlineStr">
        <is>
          <t>Ingresos del año 4 por el múltiplo de la hoja Hipótesis</t>
        </is>
      </c>
      <c r="E24" s="41" t="inlineStr">
        <is>
          <t>—</t>
        </is>
      </c>
      <c r="F24" s="41" t="inlineStr">
        <is>
          <t>—</t>
        </is>
      </c>
      <c r="G24" s="41" t="inlineStr">
        <is>
          <t>—</t>
        </is>
      </c>
      <c r="H24" s="18">
        <f>'Modelo de ingresos'!O95*Hipótesis!$C$19</f>
        <v/>
      </c>
    </row>
    <row r="25">
      <c r="B25" s="20" t="inlineStr">
        <is>
          <t>Flujo total del período</t>
        </is>
      </c>
      <c r="D25" s="18">
        <f>D21</f>
        <v/>
      </c>
      <c r="E25" s="18">
        <f>E21</f>
        <v/>
      </c>
      <c r="F25" s="18">
        <f>F21</f>
        <v/>
      </c>
      <c r="G25" s="18">
        <f>G21</f>
        <v/>
      </c>
      <c r="H25" s="18">
        <f>H21+H24</f>
        <v/>
      </c>
    </row>
    <row r="26"/>
    <row r="27"/>
    <row r="28">
      <c r="B28" s="9" t="inlineStr">
        <is>
          <t>Indicadores</t>
        </is>
      </c>
      <c r="C28" s="10" t="n"/>
      <c r="D28" s="10" t="n"/>
      <c r="E28" s="10" t="n"/>
      <c r="F28" s="10" t="n"/>
      <c r="G28" s="10" t="n"/>
      <c r="H28" s="10" t="n"/>
    </row>
    <row r="29">
      <c r="B29" s="20" t="inlineStr">
        <is>
          <t>Tasa de corte (costo de oportunidad)</t>
        </is>
      </c>
      <c r="C29" s="23">
        <f>Hipótesis!$C$17</f>
        <v/>
      </c>
      <c r="D29" s="3" t="inlineStr">
        <is>
          <t>Se toma de la hoja Hipótesis. Es el costo de oportunidad del capital: lo que los socios resignan por poner la plata acá y no en la mejor alternativa disponible</t>
        </is>
      </c>
    </row>
    <row r="30">
      <c r="B30" s="20" t="inlineStr">
        <is>
          <t>VAN</t>
        </is>
      </c>
      <c r="C30" s="18">
        <f>NPV($C$29,E25:H25)+D25</f>
        <v/>
      </c>
      <c r="D30" s="3" t="inlineStr">
        <is>
          <t>Valor actual neto con el valor terminal incluido, a la tasa de corte</t>
        </is>
      </c>
    </row>
    <row r="31">
      <c r="B31" s="20" t="inlineStr">
        <is>
          <t>VAN sin valor terminal</t>
        </is>
      </c>
      <c r="C31" s="18">
        <f>NPV($C$29,E21:H21)+D21</f>
        <v/>
      </c>
      <c r="D31" s="3" t="inlineStr">
        <is>
          <t>Sólo el flujo operativo. Se muestra al lado a propósito: es la parte que no depende de ningún supuesto de valuación</t>
        </is>
      </c>
    </row>
    <row r="32">
      <c r="B32" s="20" t="inlineStr">
        <is>
          <t>Valor terminal descontado</t>
        </is>
      </c>
      <c r="C32" s="18">
        <f>H24/(1+$C$29)^4</f>
        <v/>
      </c>
      <c r="D32" s="3" t="inlineStr">
        <is>
          <t>Cuánto del VAN aporta la cartera. Si aporta más que el flujo operativo, el proyecto se sostiene en la venta y no en la operación</t>
        </is>
      </c>
    </row>
    <row r="33">
      <c r="B33" s="20" t="inlineStr">
        <is>
          <t>TIR</t>
        </is>
      </c>
      <c r="C33" s="23">
        <f>IFERROR(IRR(D25:H25),"no calculable")</f>
        <v/>
      </c>
      <c r="D33" s="3" t="inlineStr">
        <is>
          <t>Tasa interna de retorno con el valor terminal incluido</t>
        </is>
      </c>
    </row>
    <row r="34">
      <c r="B34" s="20" t="inlineStr">
        <is>
          <t>Período de repago</t>
        </is>
      </c>
      <c r="C34" s="18">
        <f>IFERROR(MATCH(TRUE,INDEX(D22:H22&gt;0,0),0)-1,"fuera del horizonte")</f>
        <v/>
      </c>
      <c r="D34" s="3" t="inlineStr">
        <is>
          <t>Primer año en que el flujo acumulado se vuelve positivo</t>
        </is>
      </c>
    </row>
    <row r="35">
      <c r="B35" s="20" t="inlineStr">
        <is>
          <t>Primer año con resultado positivo</t>
        </is>
      </c>
      <c r="C35" s="18">
        <f>IFERROR(MATCH(TRUE,INDEX(E18:H18&gt;0,0),0),"ninguno")</f>
        <v/>
      </c>
      <c r="D35" s="3" t="inlineStr">
        <is>
          <t>Año en que la operación deja de dar pérdida</t>
        </is>
      </c>
    </row>
    <row r="36">
      <c r="B36" s="20" t="inlineStr">
        <is>
          <t>Capital que hay que poner</t>
        </is>
      </c>
      <c r="C36" s="18">
        <f>-MIN(D22:H22)</f>
        <v/>
      </c>
      <c r="D36" s="3" t="inlineStr">
        <is>
          <t>El peor punto del flujo acumulado. Es la inversión de verdad: no alcanza con el CAPEX inicial, porque el proyecto sigue consumiendo caja hasta que se da vuelta</t>
        </is>
      </c>
    </row>
    <row r="37">
      <c r="B37" s="20" t="inlineStr">
        <is>
          <t>ROI</t>
        </is>
      </c>
      <c r="C37" s="23">
        <f>IFERROR((SUM(E21:H21)+H24+D21)/$C$36-1,"no calculable")</f>
        <v/>
      </c>
      <c r="D37" s="3" t="inlineStr">
        <is>
          <t>Ganancia neta acumulada sobre el capital puesto, sin descontar. Es estática: se lee junto al VAN y a la TIR, nunca sola</t>
        </is>
      </c>
    </row>
    <row r="38">
      <c r="B38" s="20" t="inlineStr">
        <is>
          <t>Índice de rentabilidad</t>
        </is>
      </c>
      <c r="C38" s="31">
        <f>IFERROR((NPV($C$29,E25:H25)+$C$36)/$C$36,"no calculable")</f>
        <v/>
      </c>
      <c r="D38" s="3" t="inlineStr">
        <is>
          <t>Cuántos pesos de valor presente genera cada peso puesto. Por encima de 1 el proyecto crea valor; sirve para comparar proyectos cuando el capital es escaso</t>
        </is>
      </c>
    </row>
    <row r="39"/>
    <row r="40">
      <c r="B40" s="9" t="inlineStr">
        <is>
          <t>Sensibilidad del valor terminal</t>
        </is>
      </c>
      <c r="C40" s="10" t="n"/>
      <c r="D40" s="10" t="n"/>
      <c r="E40" s="10" t="n"/>
      <c r="F40" s="10" t="n"/>
      <c r="G40" s="10" t="n"/>
      <c r="H40" s="10" t="n"/>
    </row>
    <row r="41">
      <c r="B41" s="24" t="inlineStr">
        <is>
          <t>El múltiplo es el supuesto más discutible de toda la evaluación. Esta tabla dice cuánto cambia el VAN si se mueve, para que la conclusión no dependa de haber elegido bien un número que nadie puede conocer.</t>
        </is>
      </c>
    </row>
    <row r="42"/>
    <row r="43">
      <c r="B43" s="20" t="inlineStr">
        <is>
          <t>Múltiplo de ingresos</t>
        </is>
      </c>
      <c r="C43" s="42" t="n">
        <v>0</v>
      </c>
      <c r="D43" s="42" t="n">
        <v>1</v>
      </c>
      <c r="E43" s="42" t="n">
        <v>1.5</v>
      </c>
      <c r="F43" s="42" t="n">
        <v>2</v>
      </c>
      <c r="G43" s="42" t="n">
        <v>3</v>
      </c>
    </row>
    <row r="44">
      <c r="B44" s="20" t="inlineStr">
        <is>
          <t>VAN resultante</t>
        </is>
      </c>
      <c r="C44" s="18">
        <f>NPV($C$29,E21:H21)+D21+('Modelo de ingresos'!O95*0.0/(1+$C$29)^4)</f>
        <v/>
      </c>
      <c r="D44" s="18">
        <f>NPV($C$29,E21:H21)+D21+('Modelo de ingresos'!O95*1.0/(1+$C$29)^4)</f>
        <v/>
      </c>
      <c r="E44" s="18">
        <f>NPV($C$29,E21:H21)+D21+('Modelo de ingresos'!O95*1.5/(1+$C$29)^4)</f>
        <v/>
      </c>
      <c r="F44" s="18">
        <f>NPV($C$29,E21:H21)+D21+('Modelo de ingresos'!O95*2.0/(1+$C$29)^4)</f>
        <v/>
      </c>
      <c r="G44" s="18">
        <f>NPV($C$29,E21:H21)+D21+('Modelo de ingresos'!O95*3.0/(1+$C$29)^4)</f>
        <v/>
      </c>
    </row>
    <row r="45"/>
    <row r="46">
      <c r="B46" s="24" t="inlineStr">
        <is>
          <t>Advertencia que conviene decir antes de que la pregunten: el múltiplo sale de mercados que descuentan a tasas mucho más bajas que el 60 % nominal de la hoja Hipótesis. Las dos cosas no son del todo consistentes, y el efecto es que el valor terminal está sobreestimado respecto de esa tasa. Por eso se toma el piso del rango y por eso el VAN sin valor terminal figura al lado: la lectura honesta es que a cuatro años el proyecto no recupera la inversión con su operación, y que el resultado positivo depende de que la cartera valga lo que el mercado paga por una cartera.</t>
        </is>
      </c>
    </row>
    <row r="47"/>
    <row r="48"/>
    <row r="49"/>
    <row r="50"/>
    <row r="51">
      <c r="B51" s="9" t="inlineStr">
        <is>
          <t>Lectura del resultado</t>
        </is>
      </c>
      <c r="C51" s="10" t="n"/>
      <c r="D51" s="10" t="n"/>
      <c r="E51" s="10" t="n"/>
      <c r="F51" s="10" t="n"/>
      <c r="G51" s="10" t="n"/>
      <c r="H51" s="10" t="n"/>
    </row>
    <row r="52">
      <c r="B52" s="40">
        <f>"A cuatro años y a la tasa de corte del "&amp;TEXT(ROUND($C$29*100,0),"0")&amp;" %, el proyecto "&amp;IF($C$30&gt;0,"crea valor: el VAN es de ","no recupera la inversión: el VAN es de ")&amp;TEXT(ROUND($C$30/1000000,0),"0")&amp;" millones. Sin el valor terminal sería de "&amp;TEXT(ROUND($C$31/1000000,0),"0")&amp;" millones, así que el resultado "&amp;IF($C$30&gt;0,"depende de que la cartera valga lo que el mercado paga por una cartera","sigue siendo negativo incluso contando la cartera")&amp;"."</f>
        <v/>
      </c>
    </row>
    <row r="53"/>
    <row r="54">
      <c r="B54" s="40">
        <f>"La TIR es del "&amp;TEXT(ROUND($C$33*100,0),"0")&amp;" % nominal. Contra la inflación proyectada de la hoja Hipótesis eso son "&amp;TEXT(ROUND(((1+$C$33)/(1+Hipótesis!$C$8)-1)*100,0),"0")&amp;" % reales: el proyecto "&amp;IF((1+$C$33)/(1+Hipótesis!$C$8)-1&gt;0,"gana poder de compra","pierde poder de compra")&amp;", pero "&amp;IF($C$33&gt;=$C$29,"alcanza","no alcanza")&amp;" el retorno que la tasa de corte exige. Es la diferencia entre un negocio que no sirve y uno que sirve menos de lo que se le pidió."</f>
        <v/>
      </c>
    </row>
    <row r="55"/>
    <row r="56"/>
    <row r="57">
      <c r="B57" s="24" t="inlineStr">
        <is>
          <t>Qué haría falta para cerrar en positivo sin tocar el múltiplo: bajar la prima de riesgo real de la tasa de corte, o extender el horizonte. Las dos cosas son decisiones y no ajustes, y por eso están declaradas acá en lugar de aplicadas en silencio.</t>
        </is>
      </c>
    </row>
    <row r="58"/>
    <row r="59"/>
    <row r="60">
      <c r="B60" s="9" t="inlineStr">
        <is>
          <t>Punto de equilibrio</t>
        </is>
      </c>
      <c r="C60" s="10" t="n"/>
      <c r="D60" s="10" t="n"/>
      <c r="E60" s="10" t="n"/>
      <c r="F60" s="10" t="n"/>
      <c r="G60" s="10" t="n"/>
      <c r="H60" s="10" t="n"/>
    </row>
    <row r="61">
      <c r="B61" s="13" t="inlineStr">
        <is>
          <t>Clientes necesarios para cubrir la estructura fija</t>
        </is>
      </c>
      <c r="E61" s="18">
        <f>IFERROR((E10+E11)/12/(('Modelo de ingresos'!O26/12-'Costos Variables'!O14/12)/'Proyección de ventas'!O33),0)</f>
        <v/>
      </c>
      <c r="F61" s="18">
        <f>IFERROR((F10+F11)/12/(('Modelo de ingresos'!O49/12-'Costos Variables'!O24/12)/'Proyección de ventas'!O63),0)</f>
        <v/>
      </c>
      <c r="G61" s="18">
        <f>IFERROR((G10+G11)/12/(('Modelo de ingresos'!O72/12-'Costos Variables'!O34/12)/'Proyección de ventas'!O93),0)</f>
        <v/>
      </c>
      <c r="H61" s="18">
        <f>IFERROR((H10+H11)/12/(('Modelo de ingresos'!O95/12-'Costos Variables'!O44/12)/'Proyección de ventas'!O123),0)</f>
        <v/>
      </c>
    </row>
    <row r="62">
      <c r="B62" s="13" t="inlineStr">
        <is>
          <t>Clientes proyectados al cierre del año</t>
        </is>
      </c>
      <c r="E62" s="25">
        <f>'Proyección de ventas'!O33</f>
        <v/>
      </c>
      <c r="F62" s="25">
        <f>'Proyección de ventas'!O63</f>
        <v/>
      </c>
      <c r="G62" s="25">
        <f>'Proyección de ventas'!O93</f>
        <v/>
      </c>
      <c r="H62" s="25">
        <f>'Proyección de ventas'!O123</f>
        <v/>
      </c>
    </row>
    <row r="63"/>
    <row r="64">
      <c r="B64" s="24" t="inlineStr">
        <is>
          <t>El punto de equilibrio se mueve con la estructura: cada incorporación de personal lo empuja hacia arriba. Por eso el año en que se cruza no es el año en que más clientes hay, sino aquel en que el margen de contribución agregado alcanza a la estructura vigente.</t>
        </is>
      </c>
    </row>
    <row r="65"/>
  </sheetData>
  <mergeCells count="7">
    <mergeCell ref="B52:I53"/>
    <mergeCell ref="B64:I65"/>
    <mergeCell ref="B41:I42"/>
    <mergeCell ref="B46:I49"/>
    <mergeCell ref="B2:H2"/>
    <mergeCell ref="B54:I55"/>
    <mergeCell ref="B57:I58"/>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7.xml><?xml version="1.0" encoding="utf-8"?>
<worksheet xmlns="http://schemas.openxmlformats.org/spreadsheetml/2006/main">
  <sheetPr>
    <tabColor rgb="00C00000"/>
    <outlinePr summaryBelow="1" summaryRight="1"/>
    <pageSetUpPr/>
  </sheetPr>
  <dimension ref="A1:H13"/>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3" customWidth="1" min="1" max="1"/>
    <col width="6" customWidth="1" min="2" max="2"/>
    <col width="40" customWidth="1" min="3" max="3"/>
    <col width="56" customWidth="1" min="4" max="4"/>
    <col width="14" customWidth="1" min="5" max="5"/>
    <col width="12" customWidth="1" min="6" max="6"/>
    <col width="56" customWidth="1" min="7" max="7"/>
  </cols>
  <sheetData>
    <row r="1">
      <c r="A1" s="7" t="inlineStr">
        <is>
          <t>« Inicio</t>
        </is>
      </c>
    </row>
    <row r="2" ht="24" customHeight="1">
      <c r="B2" s="8" t="inlineStr">
        <is>
          <t>MATRIZ DE RIESGOS</t>
        </is>
      </c>
    </row>
    <row r="3">
      <c r="B3" s="3" t="inlineStr">
        <is>
          <t>Qué puede salir mal, con qué probabilidad, con qué impacto y qué se hace al respecto.</t>
        </is>
      </c>
    </row>
    <row r="4"/>
    <row r="5"/>
    <row r="6">
      <c r="B6" s="39" t="inlineStr">
        <is>
          <t>#</t>
        </is>
      </c>
      <c r="C6" s="39" t="inlineStr">
        <is>
          <t>Riesgo</t>
        </is>
      </c>
      <c r="D6" s="39" t="inlineStr">
        <is>
          <t>Consecuencia</t>
        </is>
      </c>
      <c r="E6" s="39" t="inlineStr">
        <is>
          <t>Probabilidad</t>
        </is>
      </c>
      <c r="F6" s="39" t="inlineStr">
        <is>
          <t>Impacto</t>
        </is>
      </c>
      <c r="G6" s="39" t="inlineStr">
        <is>
          <t>Mitigación</t>
        </is>
      </c>
    </row>
    <row r="7" ht="58" customHeight="1">
      <c r="B7" s="13" t="n">
        <v>1</v>
      </c>
      <c r="C7" s="43" t="inlineStr">
        <is>
          <t>Adopción más lenta que la proyectada en el Segmento A</t>
        </is>
      </c>
      <c r="D7" s="43" t="inlineStr">
        <is>
          <t>El embudo sostiene toda la proyección de ingresos: si la conversión de prueba a plan pago cae del 27,5 % supuesto, el punto de equilibrio se corre un año.</t>
        </is>
      </c>
      <c r="E7" s="43" t="inlineStr">
        <is>
          <t>Media</t>
        </is>
      </c>
      <c r="F7" s="43" t="inlineStr">
        <is>
          <t>Alto</t>
        </is>
      </c>
      <c r="G7" s="43" t="inlineStr">
        <is>
          <t>Acortar el tiempo hasta la primera alerta útil, que es el momento en que el cliente percibe el valor. Reforzar el acompañamiento en la carga inicial, que es la principal objeción de compra.</t>
        </is>
      </c>
    </row>
    <row r="8" ht="58" customHeight="1">
      <c r="B8" s="13" t="n">
        <v>2</v>
      </c>
      <c r="C8" s="43" t="inlineStr">
        <is>
          <t>El canal de partners no despega</t>
        </is>
      </c>
      <c r="D8" s="43" t="inlineStr">
        <is>
          <t>El Segmento C aporta alrededor de un tercio de la cartera proyectada al año 4. Sin canal, el crecimiento depende sólo del embudo directo, que es más caro por cliente.</t>
        </is>
      </c>
      <c r="E8" s="43" t="inlineStr">
        <is>
          <t>Media</t>
        </is>
      </c>
      <c r="F8" s="43" t="inlineStr">
        <is>
          <t>Alto</t>
        </is>
      </c>
      <c r="G8" s="43" t="inlineStr">
        <is>
          <t>Reducir el mínimo de clientes para acceder al descuento, y construir el portal multi-cliente antes de salir a buscar partners: sin esa función el plan no tiene producto que respalde el precio.</t>
        </is>
      </c>
    </row>
    <row r="9" ht="58" customHeight="1">
      <c r="B9" s="13" t="n">
        <v>3</v>
      </c>
      <c r="C9" s="43" t="inlineStr">
        <is>
          <t>Aumento del costo del servicio externo de inteligencia artificial</t>
        </is>
      </c>
      <c r="D9" s="43" t="inlineStr">
        <is>
          <t>Es un costo dolarizado dentro de un precio de lista en pesos. Una devaluación fuerte comprime el margen de contribución de las tres líneas.</t>
        </is>
      </c>
      <c r="E9" s="43" t="inlineStr">
        <is>
          <t>Alta</t>
        </is>
      </c>
      <c r="F9" s="43" t="inlineStr">
        <is>
          <t>Medio</t>
        </is>
      </c>
      <c r="G9" s="43" t="inlineStr">
        <is>
          <t>El sistema ya está construido con el proveedor de IA conmutable y con heurísticas propias que funcionan sin el servicio. Ante un salto de costo se puede bajar la frecuencia de consulta o pasar a modo heurístico sin perder funcionalidad.</t>
        </is>
      </c>
    </row>
    <row r="10" ht="58" customHeight="1">
      <c r="B10" s="13" t="n">
        <v>4</v>
      </c>
      <c r="C10" s="43" t="inlineStr">
        <is>
          <t>Inflación y paritarias por encima de lo proyectado</t>
        </is>
      </c>
      <c r="D10" s="43" t="inlineStr">
        <is>
          <t>El personal es la mayor parte de la estructura. Si los salarios crecen más rápido que la capacidad de actualizar precios, el punto de equilibrio se aleja.</t>
        </is>
      </c>
      <c r="E10" s="43" t="inlineStr">
        <is>
          <t>Alta</t>
        </is>
      </c>
      <c r="F10" s="43" t="inlineStr">
        <is>
          <t>Alto</t>
        </is>
      </c>
      <c r="G10" s="43" t="inlineStr">
        <is>
          <t>Revisión trimestral de la lista de precios ya prevista en el documento, con preaviso de 30 días. Escalonar las incorporaciones de personal contra hitos de clientes, no contra el calendario.</t>
        </is>
      </c>
    </row>
    <row r="11" ht="58" customHeight="1">
      <c r="B11" s="13" t="n">
        <v>5</v>
      </c>
      <c r="C11" s="43" t="inlineStr">
        <is>
          <t>Entrada de un competidor regional con precio agresivo</t>
        </is>
      </c>
      <c r="D11" s="43" t="inlineStr">
        <is>
          <t>El diferencial es el componente predictivo; un competidor que sólo copie el inventario puede igualar precio sin igualar producto, pero comprime el mercado igual.</t>
        </is>
      </c>
      <c r="E11" s="43" t="inlineStr">
        <is>
          <t>Baja</t>
        </is>
      </c>
      <c r="F11" s="43" t="inlineStr">
        <is>
          <t>Medio</t>
        </is>
      </c>
      <c r="G11" s="43" t="inlineStr">
        <is>
          <t>Sostener la ventaja donde es más difícil de copiar: el historial acumulado de cada cliente y las reglas calibradas sobre él, que no se migran.</t>
        </is>
      </c>
    </row>
    <row r="12" ht="58" customHeight="1">
      <c r="B12" s="13" t="n">
        <v>6</v>
      </c>
      <c r="C12" s="43" t="inlineStr">
        <is>
          <t>Filtración de datos entre organizaciones</t>
        </is>
      </c>
      <c r="D12" s="43" t="inlineStr">
        <is>
          <t>El sistema es multi-cliente sobre una base compartida. Una consulta sin filtro por organización expone datos de un cliente a otro. El daño es reputacional y probablemente terminal para el canal.</t>
        </is>
      </c>
      <c r="E12" s="43" t="inlineStr">
        <is>
          <t>Baja</t>
        </is>
      </c>
      <c r="F12" s="43" t="inlineStr">
        <is>
          <t>Crítico</t>
        </is>
      </c>
      <c r="G12" s="43" t="inlineStr">
        <is>
          <t>Aislamiento aplicado en la capa de acceso a datos y no en el controlador, pruebas de aislamiento por entidad, y revisión dirigida en el análisis estático. Está registrado como el riesgo técnico principal del sistema.</t>
        </is>
      </c>
    </row>
    <row r="13" ht="58" customHeight="1">
      <c r="B13" s="13" t="n">
        <v>7</v>
      </c>
      <c r="C13" s="43" t="inlineStr">
        <is>
          <t>Dependencia de los dos socios fundadores</t>
        </is>
      </c>
      <c r="D13" s="43" t="inlineStr">
        <is>
          <t>Durante las primeras dos etapas los cuatro roles funcionales los cubren dos personas. La salida de cualquiera de las dos frena el proyecto.</t>
        </is>
      </c>
      <c r="E13" s="43" t="inlineStr">
        <is>
          <t>Media</t>
        </is>
      </c>
      <c r="F13" s="43" t="inlineStr">
        <is>
          <t>Alto</t>
        </is>
      </c>
      <c r="G13" s="43" t="inlineStr">
        <is>
          <t>Documentación técnica y manuales como parte del entregable, no como tarea posterior. Incorporación del tercer rol apenas el volumen de cuentas lo justifique.</t>
        </is>
      </c>
    </row>
  </sheetData>
  <mergeCells count="1">
    <mergeCell ref="B2:H2"/>
  </mergeCells>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tabColor rgb="00C00000"/>
    <outlinePr summaryBelow="1" summaryRight="1"/>
    <pageSetUpPr/>
  </sheetPr>
  <dimension ref="A1:H32"/>
  <sheetViews>
    <sheetView showGridLines="0" workbookViewId="0">
      <pane xSplit="2" topLeftCell="C1" activePane="topRight" state="frozen"/>
      <selection pane="topRight" activeCell="A1" sqref="A1"/>
    </sheetView>
  </sheetViews>
  <sheetFormatPr baseColWidth="8" defaultRowHeight="15"/>
  <cols>
    <col width="3" customWidth="1" min="1" max="1"/>
    <col width="30" customWidth="1" min="2" max="2"/>
    <col width="26" customWidth="1" min="3" max="3"/>
    <col width="18" customWidth="1" min="4" max="4"/>
    <col width="18" customWidth="1" min="5" max="5"/>
    <col width="18" customWidth="1" min="6" max="6"/>
    <col width="18" customWidth="1" min="7" max="7"/>
    <col width="18" customWidth="1" min="8" max="8"/>
  </cols>
  <sheetData>
    <row r="1">
      <c r="A1" s="7" t="inlineStr">
        <is>
          <t>« Inicio</t>
        </is>
      </c>
    </row>
    <row r="2" ht="24" customHeight="1">
      <c r="B2" s="8" t="inlineStr">
        <is>
          <t>ESCENARIO BASE</t>
        </is>
      </c>
    </row>
    <row r="3">
      <c r="B3" s="3" t="inlineStr">
        <is>
          <t>Es el escenario que se defiende. Reproduce el flujo de fondos línea por línea con los supuestos cargados en la hoja Hipótesis: con los dos factores en 1, el VAN de esta hoja y el del flujo de fondos son el mismo número, y la última fila de indicadores lo verifica.</t>
        </is>
      </c>
    </row>
    <row r="4"/>
    <row r="5"/>
    <row r="6">
      <c r="B6" s="9" t="inlineStr">
        <is>
          <t>Supuestos del escenario</t>
        </is>
      </c>
      <c r="C6" s="10" t="n"/>
      <c r="D6" s="10" t="n"/>
      <c r="E6" s="10" t="n"/>
      <c r="F6" s="10" t="n"/>
      <c r="G6" s="10" t="n"/>
      <c r="H6" s="10" t="n"/>
    </row>
    <row r="7">
      <c r="B7" s="13" t="inlineStr">
        <is>
          <t>Factor sobre los ingresos</t>
        </is>
      </c>
      <c r="C7" s="44" t="n">
        <v>1</v>
      </c>
    </row>
    <row r="8">
      <c r="B8" s="13" t="inlineStr">
        <is>
          <t>Factor sobre los costos</t>
        </is>
      </c>
      <c r="C8" s="44" t="n">
        <v>1</v>
      </c>
    </row>
    <row r="9"/>
    <row r="10">
      <c r="B10" s="20" t="inlineStr">
        <is>
          <t>Período</t>
        </is>
      </c>
      <c r="D10" s="11" t="n">
        <v>0</v>
      </c>
      <c r="E10" s="11" t="n">
        <v>1</v>
      </c>
      <c r="F10" s="11" t="n">
        <v>2</v>
      </c>
      <c r="G10" s="11" t="n">
        <v>3</v>
      </c>
      <c r="H10" s="11" t="n">
        <v>4</v>
      </c>
    </row>
    <row r="11">
      <c r="B11" s="20" t="inlineStr">
        <is>
          <t>Ingresos</t>
        </is>
      </c>
      <c r="E11" s="18">
        <f>'Flujo de Fondos'!E9*$C$7</f>
        <v/>
      </c>
      <c r="F11" s="18">
        <f>'Flujo de Fondos'!F9*$C$7</f>
        <v/>
      </c>
      <c r="G11" s="18">
        <f>'Flujo de Fondos'!G9*$C$7</f>
        <v/>
      </c>
      <c r="H11" s="18">
        <f>'Flujo de Fondos'!H9*$C$7</f>
        <v/>
      </c>
    </row>
    <row r="12">
      <c r="B12" s="13" t="inlineStr">
        <is>
          <t>Egresos totales</t>
        </is>
      </c>
      <c r="C12" s="13" t="inlineStr">
        <is>
          <t>fijos, RRHH y variables</t>
        </is>
      </c>
      <c r="E12" s="28">
        <f>('Flujo de Fondos'!E10+'Flujo de Fondos'!E11+'Flujo de Fondos'!E12)*$C$8</f>
        <v/>
      </c>
      <c r="F12" s="28">
        <f>('Flujo de Fondos'!F10+'Flujo de Fondos'!F11+'Flujo de Fondos'!F12)*$C$8</f>
        <v/>
      </c>
      <c r="G12" s="28">
        <f>('Flujo de Fondos'!G10+'Flujo de Fondos'!G11+'Flujo de Fondos'!G12)*$C$8</f>
        <v/>
      </c>
      <c r="H12" s="28">
        <f>('Flujo de Fondos'!H10+'Flujo de Fondos'!H11+'Flujo de Fondos'!H12)*$C$8</f>
        <v/>
      </c>
    </row>
    <row r="13">
      <c r="B13" s="20" t="inlineStr">
        <is>
          <t>EBITDA</t>
        </is>
      </c>
      <c r="E13" s="18">
        <f>E11-E12</f>
        <v/>
      </c>
      <c r="F13" s="18">
        <f>F11-F12</f>
        <v/>
      </c>
      <c r="G13" s="18">
        <f>G11-G12</f>
        <v/>
      </c>
      <c r="H13" s="18">
        <f>H11-H12</f>
        <v/>
      </c>
    </row>
    <row r="14">
      <c r="B14" s="13" t="inlineStr">
        <is>
          <t>Amortizaciones</t>
        </is>
      </c>
      <c r="E14" s="28">
        <f>'Flujo de Fondos'!E14</f>
        <v/>
      </c>
      <c r="F14" s="28">
        <f>'Flujo de Fondos'!F14</f>
        <v/>
      </c>
      <c r="G14" s="28">
        <f>'Flujo de Fondos'!G14</f>
        <v/>
      </c>
      <c r="H14" s="28">
        <f>'Flujo de Fondos'!H14</f>
        <v/>
      </c>
    </row>
    <row r="15">
      <c r="B15" s="20" t="inlineStr">
        <is>
          <t>EBIT (resultado operativo)</t>
        </is>
      </c>
      <c r="E15" s="18">
        <f>E13-E14</f>
        <v/>
      </c>
      <c r="F15" s="18">
        <f>F13-F14</f>
        <v/>
      </c>
      <c r="G15" s="18">
        <f>G13-G14</f>
        <v/>
      </c>
      <c r="H15" s="18">
        <f>H13-H14</f>
        <v/>
      </c>
    </row>
    <row r="16">
      <c r="B16" s="13" t="inlineStr">
        <is>
          <t>Ingresos brutos y otros tributos</t>
        </is>
      </c>
      <c r="C16" s="13" t="inlineStr">
        <is>
          <t>de la hoja Impuestos, escalados por el factor</t>
        </is>
      </c>
      <c r="E16" s="28">
        <f>'Flujo de Fondos'!E16*$C$7</f>
        <v/>
      </c>
      <c r="F16" s="28">
        <f>'Flujo de Fondos'!F16*$C$7</f>
        <v/>
      </c>
      <c r="G16" s="28">
        <f>'Flujo de Fondos'!G16*$C$7</f>
        <v/>
      </c>
      <c r="H16" s="28">
        <f>'Flujo de Fondos'!H16*$C$7</f>
        <v/>
      </c>
    </row>
    <row r="17">
      <c r="B17" s="13" t="inlineStr">
        <is>
          <t>Impuesto a las ganancias</t>
        </is>
      </c>
      <c r="C17" s="13" t="inlineStr">
        <is>
          <t>neto del régimen de promoción</t>
        </is>
      </c>
      <c r="E17" s="28">
        <f>MAX(0,MAX(0,E15-'Impuestos'!E35*$C$7)*'Impuestos'!$C$15*(1-'Impuestos'!$C$22*'Impuestos'!$C$21)+'Impuestos'!E40)</f>
        <v/>
      </c>
      <c r="F17" s="28">
        <f>MAX(0,MAX(0,F15-'Impuestos'!F35*$C$7)*'Impuestos'!$C$15*(1-'Impuestos'!$C$22*'Impuestos'!$C$21)+'Impuestos'!F40)</f>
        <v/>
      </c>
      <c r="G17" s="28">
        <f>MAX(0,MAX(0,G15-'Impuestos'!G35*$C$7)*'Impuestos'!$C$15*(1-'Impuestos'!$C$22*'Impuestos'!$C$21)+'Impuestos'!G40)</f>
        <v/>
      </c>
      <c r="H17" s="28">
        <f>MAX(0,MAX(0,H15-'Impuestos'!H35*$C$7)*'Impuestos'!$C$15*(1-'Impuestos'!$C$22*'Impuestos'!$C$21)+'Impuestos'!H40)</f>
        <v/>
      </c>
    </row>
    <row r="18">
      <c r="B18" s="20" t="inlineStr">
        <is>
          <t>Resultado después de impuestos</t>
        </is>
      </c>
      <c r="E18" s="18">
        <f>E15-E16-E17</f>
        <v/>
      </c>
      <c r="F18" s="18">
        <f>F15-F16-F17</f>
        <v/>
      </c>
      <c r="G18" s="18">
        <f>G15-G16-G17</f>
        <v/>
      </c>
      <c r="H18" s="18">
        <f>H15-H16-H17</f>
        <v/>
      </c>
    </row>
    <row r="19">
      <c r="B19" s="13" t="inlineStr">
        <is>
          <t>Variación del capital de trabajo</t>
        </is>
      </c>
      <c r="C19" s="13" t="inlineStr">
        <is>
          <t>crédito a clientes</t>
        </is>
      </c>
      <c r="E19" s="28">
        <f>-(E11-D11)*'Flujo de Fondos'!$C$5/12</f>
        <v/>
      </c>
      <c r="F19" s="28">
        <f>-(F11-E11)*'Flujo de Fondos'!$C$5/12</f>
        <v/>
      </c>
      <c r="G19" s="28">
        <f>-(G11-F11)*'Flujo de Fondos'!$C$5/12</f>
        <v/>
      </c>
      <c r="H19" s="28">
        <f>-(H11-G11)*'Flujo de Fondos'!$C$5/12</f>
        <v/>
      </c>
    </row>
    <row r="20">
      <c r="B20" s="13" t="inlineStr">
        <is>
          <t>Inversión (CAPEX)</t>
        </is>
      </c>
      <c r="D20" s="28">
        <f>'Flujo de Fondos'!D20</f>
        <v/>
      </c>
      <c r="E20" s="28">
        <f>'Flujo de Fondos'!E20</f>
        <v/>
      </c>
      <c r="F20" s="28">
        <f>'Flujo de Fondos'!F20</f>
        <v/>
      </c>
      <c r="G20" s="28">
        <f>'Flujo de Fondos'!G20</f>
        <v/>
      </c>
      <c r="H20" s="28">
        <f>'Flujo de Fondos'!H20</f>
        <v/>
      </c>
    </row>
    <row r="21">
      <c r="B21" s="20" t="inlineStr">
        <is>
          <t>Flujo de caja libre</t>
        </is>
      </c>
      <c r="D21" s="18">
        <f>D20</f>
        <v/>
      </c>
      <c r="E21" s="18">
        <f>E18+E14+E19+E20</f>
        <v/>
      </c>
      <c r="F21" s="18">
        <f>F18+F14+F19+F20</f>
        <v/>
      </c>
      <c r="G21" s="18">
        <f>G18+G14+G19+G20</f>
        <v/>
      </c>
      <c r="H21" s="18">
        <f>H18+H14+H19+H20</f>
        <v/>
      </c>
    </row>
    <row r="22">
      <c r="B22" s="13" t="inlineStr">
        <is>
          <t>Flujo acumulado</t>
        </is>
      </c>
      <c r="D22" s="28">
        <f>D21</f>
        <v/>
      </c>
      <c r="E22" s="28">
        <f>D22+E21</f>
        <v/>
      </c>
      <c r="F22" s="28">
        <f>E22+F21</f>
        <v/>
      </c>
      <c r="G22" s="28">
        <f>F22+G21</f>
        <v/>
      </c>
      <c r="H22" s="28">
        <f>G22+H21</f>
        <v/>
      </c>
    </row>
    <row r="23">
      <c r="B23" s="20" t="inlineStr">
        <is>
          <t>Valor terminal (cartera al cierre)</t>
        </is>
      </c>
      <c r="E23" s="41" t="inlineStr">
        <is>
          <t>—</t>
        </is>
      </c>
      <c r="F23" s="41" t="inlineStr">
        <is>
          <t>—</t>
        </is>
      </c>
      <c r="G23" s="41" t="inlineStr">
        <is>
          <t>—</t>
        </is>
      </c>
      <c r="H23" s="18">
        <f>'Modelo de ingresos'!O95*Hipótesis!$C$19*$C$7</f>
        <v/>
      </c>
    </row>
    <row r="24">
      <c r="B24" s="20" t="inlineStr">
        <is>
          <t>Flujo total del período</t>
        </is>
      </c>
      <c r="D24" s="18">
        <f>D21</f>
        <v/>
      </c>
      <c r="E24" s="18">
        <f>E21</f>
        <v/>
      </c>
      <c r="F24" s="18">
        <f>F21</f>
        <v/>
      </c>
      <c r="G24" s="18">
        <f>G21</f>
        <v/>
      </c>
      <c r="H24" s="18">
        <f>H21+H23</f>
        <v/>
      </c>
    </row>
    <row r="25"/>
    <row r="26"/>
    <row r="27">
      <c r="B27" s="9" t="inlineStr">
        <is>
          <t>Indicadores</t>
        </is>
      </c>
      <c r="C27" s="10" t="n"/>
      <c r="D27" s="10" t="n"/>
      <c r="E27" s="10" t="n"/>
      <c r="F27" s="10" t="n"/>
      <c r="G27" s="10" t="n"/>
      <c r="H27" s="10" t="n"/>
    </row>
    <row r="28">
      <c r="B28" s="20" t="inlineStr">
        <is>
          <t>VAN</t>
        </is>
      </c>
      <c r="C28" s="18">
        <f>NPV(Hipótesis!$C$17,E24:H24)+D24</f>
        <v/>
      </c>
      <c r="D28" s="3" t="inlineStr">
        <is>
          <t>Con el valor terminal, igual que el del flujo de fondos</t>
        </is>
      </c>
    </row>
    <row r="29">
      <c r="B29" s="20" t="inlineStr">
        <is>
          <t>VAN sin valor terminal</t>
        </is>
      </c>
      <c r="C29" s="18">
        <f>NPV(Hipótesis!$C$17,E21:H21)+D21</f>
        <v/>
      </c>
      <c r="D29" s="3" t="inlineStr">
        <is>
          <t>Sólo el flujo operativo</t>
        </is>
      </c>
    </row>
    <row r="30">
      <c r="B30" s="20" t="inlineStr">
        <is>
          <t>TIR</t>
        </is>
      </c>
      <c r="C30" s="23">
        <f>IFERROR(IRR(D24:H24),"no calculable")</f>
        <v/>
      </c>
      <c r="D30" s="3" t="inlineStr">
        <is>
          <t>Con el valor terminal incluido</t>
        </is>
      </c>
    </row>
    <row r="31">
      <c r="B31" s="20" t="inlineStr">
        <is>
          <t>Período de repago</t>
        </is>
      </c>
      <c r="C31" s="18">
        <f>IFERROR(MATCH(TRUE,INDEX(D22:H22&gt;0,0),0)-1,"fuera del horizonte")</f>
        <v/>
      </c>
      <c r="D31" s="3" t="inlineStr">
        <is>
          <t>Primer año en que el flujo acumulado se vuelve positivo</t>
        </is>
      </c>
    </row>
    <row r="32">
      <c r="B32" s="20" t="inlineStr">
        <is>
          <t>Diferencia contra el flujo de fondos</t>
        </is>
      </c>
      <c r="C32" s="18">
        <f>C28-'Flujo de Fondos'!$C$30</f>
        <v/>
      </c>
      <c r="D32" s="3" t="inlineStr">
        <is>
          <t>Control: con los dos factores en 1 tiene que dar cero. Si no da cero, el escenario dejó de reproducir el modelo y la comparación entre escenarios no significa nada</t>
        </is>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19.xml><?xml version="1.0" encoding="utf-8"?>
<worksheet xmlns="http://schemas.openxmlformats.org/spreadsheetml/2006/main">
  <sheetPr>
    <tabColor rgb="00C00000"/>
    <outlinePr summaryBelow="1" summaryRight="1"/>
    <pageSetUpPr/>
  </sheetPr>
  <dimension ref="A1:H32"/>
  <sheetViews>
    <sheetView showGridLines="0" workbookViewId="0">
      <pane xSplit="2" topLeftCell="C1" activePane="topRight" state="frozen"/>
      <selection pane="topRight" activeCell="A1" sqref="A1"/>
    </sheetView>
  </sheetViews>
  <sheetFormatPr baseColWidth="8" defaultRowHeight="15"/>
  <cols>
    <col width="3" customWidth="1" min="1" max="1"/>
    <col width="30" customWidth="1" min="2" max="2"/>
    <col width="26" customWidth="1" min="3" max="3"/>
    <col width="18" customWidth="1" min="4" max="4"/>
    <col width="18" customWidth="1" min="5" max="5"/>
    <col width="18" customWidth="1" min="6" max="6"/>
    <col width="18" customWidth="1" min="7" max="7"/>
    <col width="18" customWidth="1" min="8" max="8"/>
  </cols>
  <sheetData>
    <row r="1">
      <c r="A1" s="7" t="inlineStr">
        <is>
          <t>« Inicio</t>
        </is>
      </c>
    </row>
    <row r="2" ht="24" customHeight="1">
      <c r="B2" s="8" t="inlineStr">
        <is>
          <t>ESCENARIO OPTIMISTA</t>
        </is>
      </c>
    </row>
    <row r="3">
      <c r="B3" s="3" t="inlineStr">
        <is>
          <t>El canal de partners rinde por encima de lo previsto y la conversión de prueba a plan pago se ubica en el techo del rango de la sección 5.3.5 (30 %). Los costos suben apenas por el mayor volumen de soporte.</t>
        </is>
      </c>
    </row>
    <row r="4"/>
    <row r="5"/>
    <row r="6">
      <c r="B6" s="9" t="inlineStr">
        <is>
          <t>Supuestos del escenario</t>
        </is>
      </c>
      <c r="C6" s="10" t="n"/>
      <c r="D6" s="10" t="n"/>
      <c r="E6" s="10" t="n"/>
      <c r="F6" s="10" t="n"/>
      <c r="G6" s="10" t="n"/>
      <c r="H6" s="10" t="n"/>
    </row>
    <row r="7">
      <c r="B7" s="13" t="inlineStr">
        <is>
          <t>Factor sobre los ingresos</t>
        </is>
      </c>
      <c r="C7" s="44" t="n">
        <v>1.3</v>
      </c>
    </row>
    <row r="8">
      <c r="B8" s="13" t="inlineStr">
        <is>
          <t>Factor sobre los costos</t>
        </is>
      </c>
      <c r="C8" s="44" t="n">
        <v>1.05</v>
      </c>
    </row>
    <row r="9"/>
    <row r="10">
      <c r="B10" s="20" t="inlineStr">
        <is>
          <t>Período</t>
        </is>
      </c>
      <c r="D10" s="11" t="n">
        <v>0</v>
      </c>
      <c r="E10" s="11" t="n">
        <v>1</v>
      </c>
      <c r="F10" s="11" t="n">
        <v>2</v>
      </c>
      <c r="G10" s="11" t="n">
        <v>3</v>
      </c>
      <c r="H10" s="11" t="n">
        <v>4</v>
      </c>
    </row>
    <row r="11">
      <c r="B11" s="20" t="inlineStr">
        <is>
          <t>Ingresos</t>
        </is>
      </c>
      <c r="E11" s="18">
        <f>'Flujo de Fondos'!E9*$C$7</f>
        <v/>
      </c>
      <c r="F11" s="18">
        <f>'Flujo de Fondos'!F9*$C$7</f>
        <v/>
      </c>
      <c r="G11" s="18">
        <f>'Flujo de Fondos'!G9*$C$7</f>
        <v/>
      </c>
      <c r="H11" s="18">
        <f>'Flujo de Fondos'!H9*$C$7</f>
        <v/>
      </c>
    </row>
    <row r="12">
      <c r="B12" s="13" t="inlineStr">
        <is>
          <t>Egresos totales</t>
        </is>
      </c>
      <c r="C12" s="13" t="inlineStr">
        <is>
          <t>fijos, RRHH y variables</t>
        </is>
      </c>
      <c r="E12" s="28">
        <f>('Flujo de Fondos'!E10+'Flujo de Fondos'!E11+'Flujo de Fondos'!E12)*$C$8</f>
        <v/>
      </c>
      <c r="F12" s="28">
        <f>('Flujo de Fondos'!F10+'Flujo de Fondos'!F11+'Flujo de Fondos'!F12)*$C$8</f>
        <v/>
      </c>
      <c r="G12" s="28">
        <f>('Flujo de Fondos'!G10+'Flujo de Fondos'!G11+'Flujo de Fondos'!G12)*$C$8</f>
        <v/>
      </c>
      <c r="H12" s="28">
        <f>('Flujo de Fondos'!H10+'Flujo de Fondos'!H11+'Flujo de Fondos'!H12)*$C$8</f>
        <v/>
      </c>
    </row>
    <row r="13">
      <c r="B13" s="20" t="inlineStr">
        <is>
          <t>EBITDA</t>
        </is>
      </c>
      <c r="E13" s="18">
        <f>E11-E12</f>
        <v/>
      </c>
      <c r="F13" s="18">
        <f>F11-F12</f>
        <v/>
      </c>
      <c r="G13" s="18">
        <f>G11-G12</f>
        <v/>
      </c>
      <c r="H13" s="18">
        <f>H11-H12</f>
        <v/>
      </c>
    </row>
    <row r="14">
      <c r="B14" s="13" t="inlineStr">
        <is>
          <t>Amortizaciones</t>
        </is>
      </c>
      <c r="E14" s="28">
        <f>'Flujo de Fondos'!E14</f>
        <v/>
      </c>
      <c r="F14" s="28">
        <f>'Flujo de Fondos'!F14</f>
        <v/>
      </c>
      <c r="G14" s="28">
        <f>'Flujo de Fondos'!G14</f>
        <v/>
      </c>
      <c r="H14" s="28">
        <f>'Flujo de Fondos'!H14</f>
        <v/>
      </c>
    </row>
    <row r="15">
      <c r="B15" s="20" t="inlineStr">
        <is>
          <t>EBIT (resultado operativo)</t>
        </is>
      </c>
      <c r="E15" s="18">
        <f>E13-E14</f>
        <v/>
      </c>
      <c r="F15" s="18">
        <f>F13-F14</f>
        <v/>
      </c>
      <c r="G15" s="18">
        <f>G13-G14</f>
        <v/>
      </c>
      <c r="H15" s="18">
        <f>H13-H14</f>
        <v/>
      </c>
    </row>
    <row r="16">
      <c r="B16" s="13" t="inlineStr">
        <is>
          <t>Ingresos brutos y otros tributos</t>
        </is>
      </c>
      <c r="C16" s="13" t="inlineStr">
        <is>
          <t>de la hoja Impuestos, escalados por el factor</t>
        </is>
      </c>
      <c r="E16" s="28">
        <f>'Flujo de Fondos'!E16*$C$7</f>
        <v/>
      </c>
      <c r="F16" s="28">
        <f>'Flujo de Fondos'!F16*$C$7</f>
        <v/>
      </c>
      <c r="G16" s="28">
        <f>'Flujo de Fondos'!G16*$C$7</f>
        <v/>
      </c>
      <c r="H16" s="28">
        <f>'Flujo de Fondos'!H16*$C$7</f>
        <v/>
      </c>
    </row>
    <row r="17">
      <c r="B17" s="13" t="inlineStr">
        <is>
          <t>Impuesto a las ganancias</t>
        </is>
      </c>
      <c r="C17" s="13" t="inlineStr">
        <is>
          <t>neto del régimen de promoción</t>
        </is>
      </c>
      <c r="E17" s="28">
        <f>MAX(0,MAX(0,E15-'Impuestos'!E35*$C$7)*'Impuestos'!$C$15*(1-'Impuestos'!$C$22*'Impuestos'!$C$21)+'Impuestos'!E40)</f>
        <v/>
      </c>
      <c r="F17" s="28">
        <f>MAX(0,MAX(0,F15-'Impuestos'!F35*$C$7)*'Impuestos'!$C$15*(1-'Impuestos'!$C$22*'Impuestos'!$C$21)+'Impuestos'!F40)</f>
        <v/>
      </c>
      <c r="G17" s="28">
        <f>MAX(0,MAX(0,G15-'Impuestos'!G35*$C$7)*'Impuestos'!$C$15*(1-'Impuestos'!$C$22*'Impuestos'!$C$21)+'Impuestos'!G40)</f>
        <v/>
      </c>
      <c r="H17" s="28">
        <f>MAX(0,MAX(0,H15-'Impuestos'!H35*$C$7)*'Impuestos'!$C$15*(1-'Impuestos'!$C$22*'Impuestos'!$C$21)+'Impuestos'!H40)</f>
        <v/>
      </c>
    </row>
    <row r="18">
      <c r="B18" s="20" t="inlineStr">
        <is>
          <t>Resultado después de impuestos</t>
        </is>
      </c>
      <c r="E18" s="18">
        <f>E15-E16-E17</f>
        <v/>
      </c>
      <c r="F18" s="18">
        <f>F15-F16-F17</f>
        <v/>
      </c>
      <c r="G18" s="18">
        <f>G15-G16-G17</f>
        <v/>
      </c>
      <c r="H18" s="18">
        <f>H15-H16-H17</f>
        <v/>
      </c>
    </row>
    <row r="19">
      <c r="B19" s="13" t="inlineStr">
        <is>
          <t>Variación del capital de trabajo</t>
        </is>
      </c>
      <c r="C19" s="13" t="inlineStr">
        <is>
          <t>crédito a clientes</t>
        </is>
      </c>
      <c r="E19" s="28">
        <f>-(E11-D11)*'Flujo de Fondos'!$C$5/12</f>
        <v/>
      </c>
      <c r="F19" s="28">
        <f>-(F11-E11)*'Flujo de Fondos'!$C$5/12</f>
        <v/>
      </c>
      <c r="G19" s="28">
        <f>-(G11-F11)*'Flujo de Fondos'!$C$5/12</f>
        <v/>
      </c>
      <c r="H19" s="28">
        <f>-(H11-G11)*'Flujo de Fondos'!$C$5/12</f>
        <v/>
      </c>
    </row>
    <row r="20">
      <c r="B20" s="13" t="inlineStr">
        <is>
          <t>Inversión (CAPEX)</t>
        </is>
      </c>
      <c r="D20" s="28">
        <f>'Flujo de Fondos'!D20</f>
        <v/>
      </c>
      <c r="E20" s="28">
        <f>'Flujo de Fondos'!E20</f>
        <v/>
      </c>
      <c r="F20" s="28">
        <f>'Flujo de Fondos'!F20</f>
        <v/>
      </c>
      <c r="G20" s="28">
        <f>'Flujo de Fondos'!G20</f>
        <v/>
      </c>
      <c r="H20" s="28">
        <f>'Flujo de Fondos'!H20</f>
        <v/>
      </c>
    </row>
    <row r="21">
      <c r="B21" s="20" t="inlineStr">
        <is>
          <t>Flujo de caja libre</t>
        </is>
      </c>
      <c r="D21" s="18">
        <f>D20</f>
        <v/>
      </c>
      <c r="E21" s="18">
        <f>E18+E14+E19+E20</f>
        <v/>
      </c>
      <c r="F21" s="18">
        <f>F18+F14+F19+F20</f>
        <v/>
      </c>
      <c r="G21" s="18">
        <f>G18+G14+G19+G20</f>
        <v/>
      </c>
      <c r="H21" s="18">
        <f>H18+H14+H19+H20</f>
        <v/>
      </c>
    </row>
    <row r="22">
      <c r="B22" s="13" t="inlineStr">
        <is>
          <t>Flujo acumulado</t>
        </is>
      </c>
      <c r="D22" s="28">
        <f>D21</f>
        <v/>
      </c>
      <c r="E22" s="28">
        <f>D22+E21</f>
        <v/>
      </c>
      <c r="F22" s="28">
        <f>E22+F21</f>
        <v/>
      </c>
      <c r="G22" s="28">
        <f>F22+G21</f>
        <v/>
      </c>
      <c r="H22" s="28">
        <f>G22+H21</f>
        <v/>
      </c>
    </row>
    <row r="23">
      <c r="B23" s="20" t="inlineStr">
        <is>
          <t>Valor terminal (cartera al cierre)</t>
        </is>
      </c>
      <c r="E23" s="41" t="inlineStr">
        <is>
          <t>—</t>
        </is>
      </c>
      <c r="F23" s="41" t="inlineStr">
        <is>
          <t>—</t>
        </is>
      </c>
      <c r="G23" s="41" t="inlineStr">
        <is>
          <t>—</t>
        </is>
      </c>
      <c r="H23" s="18">
        <f>'Modelo de ingresos'!O95*Hipótesis!$C$19*$C$7</f>
        <v/>
      </c>
    </row>
    <row r="24">
      <c r="B24" s="20" t="inlineStr">
        <is>
          <t>Flujo total del período</t>
        </is>
      </c>
      <c r="D24" s="18">
        <f>D21</f>
        <v/>
      </c>
      <c r="E24" s="18">
        <f>E21</f>
        <v/>
      </c>
      <c r="F24" s="18">
        <f>F21</f>
        <v/>
      </c>
      <c r="G24" s="18">
        <f>G21</f>
        <v/>
      </c>
      <c r="H24" s="18">
        <f>H21+H23</f>
        <v/>
      </c>
    </row>
    <row r="25"/>
    <row r="26"/>
    <row r="27">
      <c r="B27" s="9" t="inlineStr">
        <is>
          <t>Indicadores</t>
        </is>
      </c>
      <c r="C27" s="10" t="n"/>
      <c r="D27" s="10" t="n"/>
      <c r="E27" s="10" t="n"/>
      <c r="F27" s="10" t="n"/>
      <c r="G27" s="10" t="n"/>
      <c r="H27" s="10" t="n"/>
    </row>
    <row r="28">
      <c r="B28" s="20" t="inlineStr">
        <is>
          <t>VAN</t>
        </is>
      </c>
      <c r="C28" s="18">
        <f>NPV(Hipótesis!$C$17,E24:H24)+D24</f>
        <v/>
      </c>
      <c r="D28" s="3" t="inlineStr">
        <is>
          <t>Con el valor terminal, igual que el del flujo de fondos</t>
        </is>
      </c>
    </row>
    <row r="29">
      <c r="B29" s="20" t="inlineStr">
        <is>
          <t>VAN sin valor terminal</t>
        </is>
      </c>
      <c r="C29" s="18">
        <f>NPV(Hipótesis!$C$17,E21:H21)+D21</f>
        <v/>
      </c>
      <c r="D29" s="3" t="inlineStr">
        <is>
          <t>Sólo el flujo operativo</t>
        </is>
      </c>
    </row>
    <row r="30">
      <c r="B30" s="20" t="inlineStr">
        <is>
          <t>TIR</t>
        </is>
      </c>
      <c r="C30" s="23">
        <f>IFERROR(IRR(D24:H24),"no calculable")</f>
        <v/>
      </c>
      <c r="D30" s="3" t="inlineStr">
        <is>
          <t>Con el valor terminal incluido</t>
        </is>
      </c>
    </row>
    <row r="31">
      <c r="B31" s="20" t="inlineStr">
        <is>
          <t>Período de repago</t>
        </is>
      </c>
      <c r="C31" s="18">
        <f>IFERROR(MATCH(TRUE,INDEX(D22:H22&gt;0,0),0)-1,"fuera del horizonte")</f>
        <v/>
      </c>
      <c r="D31" s="3" t="inlineStr">
        <is>
          <t>Primer año en que el flujo acumulado se vuelve positivo</t>
        </is>
      </c>
    </row>
    <row r="32">
      <c r="B32" s="20" t="inlineStr">
        <is>
          <t>Diferencia contra el flujo de fondos</t>
        </is>
      </c>
      <c r="C32" s="18">
        <f>C28-'Flujo de Fondos'!$C$30</f>
        <v/>
      </c>
      <c r="D32" s="3" t="inlineStr">
        <is>
          <t>Control: con los dos factores en 1 tiene que dar cero. Si no da cero, el escenario dejó de reproducir el modelo y la comparación entre escenarios no significa nada</t>
        </is>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20.xml><?xml version="1.0" encoding="utf-8"?>
<worksheet xmlns="http://schemas.openxmlformats.org/spreadsheetml/2006/main">
  <sheetPr>
    <tabColor rgb="00C00000"/>
    <outlinePr summaryBelow="1" summaryRight="1"/>
    <pageSetUpPr/>
  </sheetPr>
  <dimension ref="A1:H32"/>
  <sheetViews>
    <sheetView showGridLines="0" workbookViewId="0">
      <pane xSplit="2" topLeftCell="C1" activePane="topRight" state="frozen"/>
      <selection pane="topRight" activeCell="A1" sqref="A1"/>
    </sheetView>
  </sheetViews>
  <sheetFormatPr baseColWidth="8" defaultRowHeight="15"/>
  <cols>
    <col width="3" customWidth="1" min="1" max="1"/>
    <col width="30" customWidth="1" min="2" max="2"/>
    <col width="26" customWidth="1" min="3" max="3"/>
    <col width="18" customWidth="1" min="4" max="4"/>
    <col width="18" customWidth="1" min="5" max="5"/>
    <col width="18" customWidth="1" min="6" max="6"/>
    <col width="18" customWidth="1" min="7" max="7"/>
    <col width="18" customWidth="1" min="8" max="8"/>
  </cols>
  <sheetData>
    <row r="1">
      <c r="A1" s="7" t="inlineStr">
        <is>
          <t>« Inicio</t>
        </is>
      </c>
    </row>
    <row r="2" ht="24" customHeight="1">
      <c r="B2" s="8" t="inlineStr">
        <is>
          <t>ESCENARIO PESIMISTA</t>
        </is>
      </c>
    </row>
    <row r="3">
      <c r="B3" s="3" t="inlineStr">
        <is>
          <t>La adopción es más lenta y el canal aporta la mitad de lo previsto, mientras la inflación y las paritarias empujan la estructura por encima de lo proyectado.</t>
        </is>
      </c>
    </row>
    <row r="4"/>
    <row r="5"/>
    <row r="6">
      <c r="B6" s="9" t="inlineStr">
        <is>
          <t>Supuestos del escenario</t>
        </is>
      </c>
      <c r="C6" s="10" t="n"/>
      <c r="D6" s="10" t="n"/>
      <c r="E6" s="10" t="n"/>
      <c r="F6" s="10" t="n"/>
      <c r="G6" s="10" t="n"/>
      <c r="H6" s="10" t="n"/>
    </row>
    <row r="7">
      <c r="B7" s="13" t="inlineStr">
        <is>
          <t>Factor sobre los ingresos</t>
        </is>
      </c>
      <c r="C7" s="44" t="n">
        <v>0.65</v>
      </c>
    </row>
    <row r="8">
      <c r="B8" s="13" t="inlineStr">
        <is>
          <t>Factor sobre los costos</t>
        </is>
      </c>
      <c r="C8" s="44" t="n">
        <v>1.1</v>
      </c>
    </row>
    <row r="9"/>
    <row r="10">
      <c r="B10" s="20" t="inlineStr">
        <is>
          <t>Período</t>
        </is>
      </c>
      <c r="D10" s="11" t="n">
        <v>0</v>
      </c>
      <c r="E10" s="11" t="n">
        <v>1</v>
      </c>
      <c r="F10" s="11" t="n">
        <v>2</v>
      </c>
      <c r="G10" s="11" t="n">
        <v>3</v>
      </c>
      <c r="H10" s="11" t="n">
        <v>4</v>
      </c>
    </row>
    <row r="11">
      <c r="B11" s="20" t="inlineStr">
        <is>
          <t>Ingresos</t>
        </is>
      </c>
      <c r="E11" s="18">
        <f>'Flujo de Fondos'!E9*$C$7</f>
        <v/>
      </c>
      <c r="F11" s="18">
        <f>'Flujo de Fondos'!F9*$C$7</f>
        <v/>
      </c>
      <c r="G11" s="18">
        <f>'Flujo de Fondos'!G9*$C$7</f>
        <v/>
      </c>
      <c r="H11" s="18">
        <f>'Flujo de Fondos'!H9*$C$7</f>
        <v/>
      </c>
    </row>
    <row r="12">
      <c r="B12" s="13" t="inlineStr">
        <is>
          <t>Egresos totales</t>
        </is>
      </c>
      <c r="C12" s="13" t="inlineStr">
        <is>
          <t>fijos, RRHH y variables</t>
        </is>
      </c>
      <c r="E12" s="28">
        <f>('Flujo de Fondos'!E10+'Flujo de Fondos'!E11+'Flujo de Fondos'!E12)*$C$8</f>
        <v/>
      </c>
      <c r="F12" s="28">
        <f>('Flujo de Fondos'!F10+'Flujo de Fondos'!F11+'Flujo de Fondos'!F12)*$C$8</f>
        <v/>
      </c>
      <c r="G12" s="28">
        <f>('Flujo de Fondos'!G10+'Flujo de Fondos'!G11+'Flujo de Fondos'!G12)*$C$8</f>
        <v/>
      </c>
      <c r="H12" s="28">
        <f>('Flujo de Fondos'!H10+'Flujo de Fondos'!H11+'Flujo de Fondos'!H12)*$C$8</f>
        <v/>
      </c>
    </row>
    <row r="13">
      <c r="B13" s="20" t="inlineStr">
        <is>
          <t>EBITDA</t>
        </is>
      </c>
      <c r="E13" s="18">
        <f>E11-E12</f>
        <v/>
      </c>
      <c r="F13" s="18">
        <f>F11-F12</f>
        <v/>
      </c>
      <c r="G13" s="18">
        <f>G11-G12</f>
        <v/>
      </c>
      <c r="H13" s="18">
        <f>H11-H12</f>
        <v/>
      </c>
    </row>
    <row r="14">
      <c r="B14" s="13" t="inlineStr">
        <is>
          <t>Amortizaciones</t>
        </is>
      </c>
      <c r="E14" s="28">
        <f>'Flujo de Fondos'!E14</f>
        <v/>
      </c>
      <c r="F14" s="28">
        <f>'Flujo de Fondos'!F14</f>
        <v/>
      </c>
      <c r="G14" s="28">
        <f>'Flujo de Fondos'!G14</f>
        <v/>
      </c>
      <c r="H14" s="28">
        <f>'Flujo de Fondos'!H14</f>
        <v/>
      </c>
    </row>
    <row r="15">
      <c r="B15" s="20" t="inlineStr">
        <is>
          <t>EBIT (resultado operativo)</t>
        </is>
      </c>
      <c r="E15" s="18">
        <f>E13-E14</f>
        <v/>
      </c>
      <c r="F15" s="18">
        <f>F13-F14</f>
        <v/>
      </c>
      <c r="G15" s="18">
        <f>G13-G14</f>
        <v/>
      </c>
      <c r="H15" s="18">
        <f>H13-H14</f>
        <v/>
      </c>
    </row>
    <row r="16">
      <c r="B16" s="13" t="inlineStr">
        <is>
          <t>Ingresos brutos y otros tributos</t>
        </is>
      </c>
      <c r="C16" s="13" t="inlineStr">
        <is>
          <t>de la hoja Impuestos, escalados por el factor</t>
        </is>
      </c>
      <c r="E16" s="28">
        <f>'Flujo de Fondos'!E16*$C$7</f>
        <v/>
      </c>
      <c r="F16" s="28">
        <f>'Flujo de Fondos'!F16*$C$7</f>
        <v/>
      </c>
      <c r="G16" s="28">
        <f>'Flujo de Fondos'!G16*$C$7</f>
        <v/>
      </c>
      <c r="H16" s="28">
        <f>'Flujo de Fondos'!H16*$C$7</f>
        <v/>
      </c>
    </row>
    <row r="17">
      <c r="B17" s="13" t="inlineStr">
        <is>
          <t>Impuesto a las ganancias</t>
        </is>
      </c>
      <c r="C17" s="13" t="inlineStr">
        <is>
          <t>neto del régimen de promoción</t>
        </is>
      </c>
      <c r="E17" s="28">
        <f>MAX(0,MAX(0,E15-'Impuestos'!E35*$C$7)*'Impuestos'!$C$15*(1-'Impuestos'!$C$22*'Impuestos'!$C$21)+'Impuestos'!E40)</f>
        <v/>
      </c>
      <c r="F17" s="28">
        <f>MAX(0,MAX(0,F15-'Impuestos'!F35*$C$7)*'Impuestos'!$C$15*(1-'Impuestos'!$C$22*'Impuestos'!$C$21)+'Impuestos'!F40)</f>
        <v/>
      </c>
      <c r="G17" s="28">
        <f>MAX(0,MAX(0,G15-'Impuestos'!G35*$C$7)*'Impuestos'!$C$15*(1-'Impuestos'!$C$22*'Impuestos'!$C$21)+'Impuestos'!G40)</f>
        <v/>
      </c>
      <c r="H17" s="28">
        <f>MAX(0,MAX(0,H15-'Impuestos'!H35*$C$7)*'Impuestos'!$C$15*(1-'Impuestos'!$C$22*'Impuestos'!$C$21)+'Impuestos'!H40)</f>
        <v/>
      </c>
    </row>
    <row r="18">
      <c r="B18" s="20" t="inlineStr">
        <is>
          <t>Resultado después de impuestos</t>
        </is>
      </c>
      <c r="E18" s="18">
        <f>E15-E16-E17</f>
        <v/>
      </c>
      <c r="F18" s="18">
        <f>F15-F16-F17</f>
        <v/>
      </c>
      <c r="G18" s="18">
        <f>G15-G16-G17</f>
        <v/>
      </c>
      <c r="H18" s="18">
        <f>H15-H16-H17</f>
        <v/>
      </c>
    </row>
    <row r="19">
      <c r="B19" s="13" t="inlineStr">
        <is>
          <t>Variación del capital de trabajo</t>
        </is>
      </c>
      <c r="C19" s="13" t="inlineStr">
        <is>
          <t>crédito a clientes</t>
        </is>
      </c>
      <c r="E19" s="28">
        <f>-(E11-D11)*'Flujo de Fondos'!$C$5/12</f>
        <v/>
      </c>
      <c r="F19" s="28">
        <f>-(F11-E11)*'Flujo de Fondos'!$C$5/12</f>
        <v/>
      </c>
      <c r="G19" s="28">
        <f>-(G11-F11)*'Flujo de Fondos'!$C$5/12</f>
        <v/>
      </c>
      <c r="H19" s="28">
        <f>-(H11-G11)*'Flujo de Fondos'!$C$5/12</f>
        <v/>
      </c>
    </row>
    <row r="20">
      <c r="B20" s="13" t="inlineStr">
        <is>
          <t>Inversión (CAPEX)</t>
        </is>
      </c>
      <c r="D20" s="28">
        <f>'Flujo de Fondos'!D20</f>
        <v/>
      </c>
      <c r="E20" s="28">
        <f>'Flujo de Fondos'!E20</f>
        <v/>
      </c>
      <c r="F20" s="28">
        <f>'Flujo de Fondos'!F20</f>
        <v/>
      </c>
      <c r="G20" s="28">
        <f>'Flujo de Fondos'!G20</f>
        <v/>
      </c>
      <c r="H20" s="28">
        <f>'Flujo de Fondos'!H20</f>
        <v/>
      </c>
    </row>
    <row r="21">
      <c r="B21" s="20" t="inlineStr">
        <is>
          <t>Flujo de caja libre</t>
        </is>
      </c>
      <c r="D21" s="18">
        <f>D20</f>
        <v/>
      </c>
      <c r="E21" s="18">
        <f>E18+E14+E19+E20</f>
        <v/>
      </c>
      <c r="F21" s="18">
        <f>F18+F14+F19+F20</f>
        <v/>
      </c>
      <c r="G21" s="18">
        <f>G18+G14+G19+G20</f>
        <v/>
      </c>
      <c r="H21" s="18">
        <f>H18+H14+H19+H20</f>
        <v/>
      </c>
    </row>
    <row r="22">
      <c r="B22" s="13" t="inlineStr">
        <is>
          <t>Flujo acumulado</t>
        </is>
      </c>
      <c r="D22" s="28">
        <f>D21</f>
        <v/>
      </c>
      <c r="E22" s="28">
        <f>D22+E21</f>
        <v/>
      </c>
      <c r="F22" s="28">
        <f>E22+F21</f>
        <v/>
      </c>
      <c r="G22" s="28">
        <f>F22+G21</f>
        <v/>
      </c>
      <c r="H22" s="28">
        <f>G22+H21</f>
        <v/>
      </c>
    </row>
    <row r="23">
      <c r="B23" s="20" t="inlineStr">
        <is>
          <t>Valor terminal (cartera al cierre)</t>
        </is>
      </c>
      <c r="E23" s="41" t="inlineStr">
        <is>
          <t>—</t>
        </is>
      </c>
      <c r="F23" s="41" t="inlineStr">
        <is>
          <t>—</t>
        </is>
      </c>
      <c r="G23" s="41" t="inlineStr">
        <is>
          <t>—</t>
        </is>
      </c>
      <c r="H23" s="18">
        <f>'Modelo de ingresos'!O95*Hipótesis!$C$19*$C$7</f>
        <v/>
      </c>
    </row>
    <row r="24">
      <c r="B24" s="20" t="inlineStr">
        <is>
          <t>Flujo total del período</t>
        </is>
      </c>
      <c r="D24" s="18">
        <f>D21</f>
        <v/>
      </c>
      <c r="E24" s="18">
        <f>E21</f>
        <v/>
      </c>
      <c r="F24" s="18">
        <f>F21</f>
        <v/>
      </c>
      <c r="G24" s="18">
        <f>G21</f>
        <v/>
      </c>
      <c r="H24" s="18">
        <f>H21+H23</f>
        <v/>
      </c>
    </row>
    <row r="25"/>
    <row r="26"/>
    <row r="27">
      <c r="B27" s="9" t="inlineStr">
        <is>
          <t>Indicadores</t>
        </is>
      </c>
      <c r="C27" s="10" t="n"/>
      <c r="D27" s="10" t="n"/>
      <c r="E27" s="10" t="n"/>
      <c r="F27" s="10" t="n"/>
      <c r="G27" s="10" t="n"/>
      <c r="H27" s="10" t="n"/>
    </row>
    <row r="28">
      <c r="B28" s="20" t="inlineStr">
        <is>
          <t>VAN</t>
        </is>
      </c>
      <c r="C28" s="18">
        <f>NPV(Hipótesis!$C$17,E24:H24)+D24</f>
        <v/>
      </c>
      <c r="D28" s="3" t="inlineStr">
        <is>
          <t>Con el valor terminal, igual que el del flujo de fondos</t>
        </is>
      </c>
    </row>
    <row r="29">
      <c r="B29" s="20" t="inlineStr">
        <is>
          <t>VAN sin valor terminal</t>
        </is>
      </c>
      <c r="C29" s="18">
        <f>NPV(Hipótesis!$C$17,E21:H21)+D21</f>
        <v/>
      </c>
      <c r="D29" s="3" t="inlineStr">
        <is>
          <t>Sólo el flujo operativo</t>
        </is>
      </c>
    </row>
    <row r="30">
      <c r="B30" s="20" t="inlineStr">
        <is>
          <t>TIR</t>
        </is>
      </c>
      <c r="C30" s="23">
        <f>IFERROR(IRR(D24:H24),"no calculable")</f>
        <v/>
      </c>
      <c r="D30" s="3" t="inlineStr">
        <is>
          <t>Con el valor terminal incluido</t>
        </is>
      </c>
    </row>
    <row r="31">
      <c r="B31" s="20" t="inlineStr">
        <is>
          <t>Período de repago</t>
        </is>
      </c>
      <c r="C31" s="18">
        <f>IFERROR(MATCH(TRUE,INDEX(D22:H22&gt;0,0),0)-1,"fuera del horizonte")</f>
        <v/>
      </c>
      <c r="D31" s="3" t="inlineStr">
        <is>
          <t>Primer año en que el flujo acumulado se vuelve positivo</t>
        </is>
      </c>
    </row>
    <row r="32">
      <c r="B32" s="20" t="inlineStr">
        <is>
          <t>Diferencia contra el flujo de fondos</t>
        </is>
      </c>
      <c r="C32" s="18">
        <f>C28-'Flujo de Fondos'!$C$30</f>
        <v/>
      </c>
      <c r="D32" s="3" t="inlineStr">
        <is>
          <t>Control: con los dos factores en 1 tiene que dar cero. Si no da cero, el escenario dejó de reproducir el modelo y la comparación entre escenarios no significa nada</t>
        </is>
      </c>
    </row>
  </sheetData>
  <mergeCells count="1">
    <mergeCell ref="B2:H2"/>
  </mergeCells>
  <hyperlinks>
    <hyperlink xmlns:r="http://schemas.openxmlformats.org/officeDocument/2006/relationships" ref="A1" r:id="rId1"/>
  </hyperlinks>
  <pageMargins left="0.75" right="0.75" top="1" bottom="1" header="0.5" footer="0.5"/>
  <drawing xmlns:r="http://schemas.openxmlformats.org/officeDocument/2006/relationships" r:id="rId2"/>
</worksheet>
</file>

<file path=xl/worksheets/sheet21.xml><?xml version="1.0" encoding="utf-8"?>
<worksheet xmlns="http://schemas.openxmlformats.org/spreadsheetml/2006/main">
  <sheetPr>
    <tabColor rgb="00C00000"/>
    <outlinePr summaryBelow="1" summaryRight="1"/>
    <pageSetUpPr/>
  </sheetPr>
  <dimension ref="A1:H29"/>
  <sheetViews>
    <sheetView showGridLines="0" workbookViewId="0">
      <selection activeCell="A1" sqref="A1"/>
    </sheetView>
  </sheetViews>
  <sheetFormatPr baseColWidth="8" defaultRowHeight="15"/>
  <cols>
    <col width="3" customWidth="1" min="1" max="1"/>
    <col width="24" customWidth="1" min="2" max="2"/>
    <col width="96" customWidth="1" min="3" max="3"/>
    <col width="34" customWidth="1" min="4" max="4"/>
  </cols>
  <sheetData>
    <row r="1">
      <c r="A1" s="7" t="inlineStr">
        <is>
          <t>« Inicio</t>
        </is>
      </c>
    </row>
    <row r="2" ht="24" customHeight="1">
      <c r="B2" s="8" t="inlineStr">
        <is>
          <t>PLANES DE CONTINGENCIA</t>
        </is>
      </c>
    </row>
    <row r="3">
      <c r="B3" s="3" t="inlineStr">
        <is>
          <t>Qué se hace concretamente si se materializa el riesgo que define cada escenario. Un escenario sin plan de acción es sólo un número distinto.</t>
        </is>
      </c>
    </row>
    <row r="4"/>
    <row r="5"/>
    <row r="6">
      <c r="B6" s="45" t="inlineStr">
        <is>
          <t>Escenario pesimista — la adopción no llega</t>
        </is>
      </c>
    </row>
    <row r="7" ht="32" customHeight="1">
      <c r="B7" s="20" t="inlineStr">
        <is>
          <t>Riesgo que lo dispara</t>
        </is>
      </c>
      <c r="C7" s="40" t="inlineStr">
        <is>
          <t>La conversión de prueba a plan pago se sostiene por debajo del 20 % durante dos trimestres seguidos, o el canal de partners no supera los tres partners activos al mes 12.</t>
        </is>
      </c>
    </row>
    <row r="8">
      <c r="B8" s="20" t="inlineStr">
        <is>
          <t>Acciones</t>
        </is>
      </c>
      <c r="C8" s="20" t="inlineStr">
        <is>
          <t>Qué se hace</t>
        </is>
      </c>
      <c r="D8" s="20" t="inlineStr">
        <is>
          <t>Responsable</t>
        </is>
      </c>
    </row>
    <row r="9" ht="44" customHeight="1">
      <c r="B9" s="13" t="inlineStr">
        <is>
          <t>1.</t>
        </is>
      </c>
      <c r="C9" s="40" t="inlineStr">
        <is>
          <t>Congelar la incorporación del cuarto rol y del colaborador de desarrollo hasta recuperar la meta de clientes. Es la palanca de mayor impacto: el personal explica la mayor parte de la estructura.</t>
        </is>
      </c>
      <c r="D9" s="40" t="inlineStr">
        <is>
          <t>Responsable de Producto y Desarrollo</t>
        </is>
      </c>
    </row>
    <row r="10" ht="44" customHeight="1">
      <c r="B10" s="13" t="inlineStr">
        <is>
          <t>2.</t>
        </is>
      </c>
      <c r="C10" s="40" t="inlineStr">
        <is>
          <t>Reenfocar el esfuerzo comercial del embudo frío hacia el canal de partners, que tiene menor costo de adquisición por cliente y ciclo de venta más corto por la confianza preexistente.</t>
        </is>
      </c>
      <c r="D10" s="40" t="inlineStr">
        <is>
          <t>Responsable Comercial y de Cuentas</t>
        </is>
      </c>
    </row>
    <row r="11" ht="44" customHeight="1">
      <c r="B11" s="13" t="inlineStr">
        <is>
          <t>3.</t>
        </is>
      </c>
      <c r="C11" s="40" t="inlineStr">
        <is>
          <t>Acortar el período de prueba de 30 a 15 días con acompañamiento intensivo en la carga inicial, para adelantar el momento de la primera alerta útil.</t>
        </is>
      </c>
      <c r="D11" s="40" t="inlineStr">
        <is>
          <t>Responsable de Soporte y Onboarding</t>
        </is>
      </c>
    </row>
    <row r="12" ht="44" customHeight="1">
      <c r="B12" s="13" t="inlineStr">
        <is>
          <t>4.</t>
        </is>
      </c>
      <c r="C12" s="40" t="inlineStr">
        <is>
          <t>Revisar el precio del Plan Inicial a la baja, absorbiendo margen, antes que resignar volumen: con un margen de contribución del 76 % hay recorrido.</t>
        </is>
      </c>
      <c r="D12" s="40" t="inlineStr">
        <is>
          <t>Responsable Comercial y de Cuentas</t>
        </is>
      </c>
    </row>
    <row r="13"/>
    <row r="14"/>
    <row r="15">
      <c r="B15" s="45" t="inlineStr">
        <is>
          <t>Escenario optimista — la demanda supera la capacidad</t>
        </is>
      </c>
    </row>
    <row r="16" ht="32" customHeight="1">
      <c r="B16" s="20" t="inlineStr">
        <is>
          <t>Riesgo que lo dispara</t>
        </is>
      </c>
      <c r="C16" s="40" t="inlineStr">
        <is>
          <t>La cartera crece por encima de lo proyectado y el tiempo de respuesta del soporte se degrada, con riesgo de perder clientes por calidad de servicio justo cuando más entran.</t>
        </is>
      </c>
    </row>
    <row r="17">
      <c r="B17" s="20" t="inlineStr">
        <is>
          <t>Acciones</t>
        </is>
      </c>
      <c r="C17" s="20" t="inlineStr">
        <is>
          <t>Qué se hace</t>
        </is>
      </c>
      <c r="D17" s="20" t="inlineStr">
        <is>
          <t>Responsable</t>
        </is>
      </c>
    </row>
    <row r="18" ht="44" customHeight="1">
      <c r="B18" s="13" t="inlineStr">
        <is>
          <t>1.</t>
        </is>
      </c>
      <c r="C18" s="40" t="inlineStr">
        <is>
          <t>Adelantar la incorporación del segundo colaborador de soporte, que en el plan base recién aparece en el mes 18.</t>
        </is>
      </c>
      <c r="D18" s="40" t="inlineStr">
        <is>
          <t>Responsable de Soporte y Onboarding</t>
        </is>
      </c>
    </row>
    <row r="19" ht="44" customHeight="1">
      <c r="B19" s="13" t="inlineStr">
        <is>
          <t>2.</t>
        </is>
      </c>
      <c r="C19" s="40" t="inlineStr">
        <is>
          <t>Priorizar en el roadmap las funciones que reducen carga de soporte: importación desde planilla, base de conocimiento de autoservicio y mejoras en la clasificación automática.</t>
        </is>
      </c>
      <c r="D19" s="40" t="inlineStr">
        <is>
          <t>Responsable de Producto y Desarrollo</t>
        </is>
      </c>
    </row>
    <row r="20" ht="44" customHeight="1">
      <c r="B20" s="13" t="inlineStr">
        <is>
          <t>3.</t>
        </is>
      </c>
      <c r="C20" s="40" t="inlineStr">
        <is>
          <t>Elevar el mínimo de clientes gestionados para el descuento de partners, aprovechando la posición de demanda para mejorar la calidad del canal.</t>
        </is>
      </c>
      <c r="D20" s="40" t="inlineStr">
        <is>
          <t>Responsable Comercial y de Cuentas</t>
        </is>
      </c>
    </row>
    <row r="21" ht="44" customHeight="1">
      <c r="B21" s="13" t="inlineStr">
        <is>
          <t>4.</t>
        </is>
      </c>
      <c r="C21" s="40" t="inlineStr">
        <is>
          <t>Adelantar la evaluación de la ronda de inversión ángel prevista en la sección 7.2, para financiar el crecimiento sin comprometer la caja.</t>
        </is>
      </c>
      <c r="D21" s="40" t="inlineStr">
        <is>
          <t>Ambos socios</t>
        </is>
      </c>
    </row>
    <row r="22"/>
    <row r="23"/>
    <row r="24">
      <c r="B24" s="45" t="inlineStr">
        <is>
          <t>Riesgo transversal — salto del costo dolarizado</t>
        </is>
      </c>
    </row>
    <row r="25" ht="32" customHeight="1">
      <c r="B25" s="20" t="inlineStr">
        <is>
          <t>Riesgo que lo dispara</t>
        </is>
      </c>
      <c r="C25" s="40" t="inlineStr">
        <is>
          <t>Una devaluación o un aumento del precio del servicio externo de inteligencia artificial lleva el costo variable por cliente por encima del 30 % del precio de lista.</t>
        </is>
      </c>
    </row>
    <row r="26">
      <c r="B26" s="20" t="inlineStr">
        <is>
          <t>Acciones</t>
        </is>
      </c>
      <c r="C26" s="20" t="inlineStr">
        <is>
          <t>Qué se hace</t>
        </is>
      </c>
      <c r="D26" s="20" t="inlineStr">
        <is>
          <t>Responsable</t>
        </is>
      </c>
    </row>
    <row r="27" ht="44" customHeight="1">
      <c r="B27" s="13" t="inlineStr">
        <is>
          <t>1.</t>
        </is>
      </c>
      <c r="C27" s="40" t="inlineStr">
        <is>
          <t>Pasar el proveedor de inteligencia artificial a modo heurístico en los planes de menor precio. El sistema está construido para operar sin el servicio externo y avisar que lo está haciendo, así que la medida no rompe funcionalidad.</t>
        </is>
      </c>
      <c r="D27" s="40" t="inlineStr">
        <is>
          <t>Responsable de Producto y Desarrollo</t>
        </is>
      </c>
    </row>
    <row r="28" ht="44" customHeight="1">
      <c r="B28" s="13" t="inlineStr">
        <is>
          <t>2.</t>
        </is>
      </c>
      <c r="C28" s="40" t="inlineStr">
        <is>
          <t>Reducir la frecuencia de consulta: clasificar sólo las incidencias cuyo texto las heurísticas no resuelven con confianza suficiente.</t>
        </is>
      </c>
      <c r="D28" s="40" t="inlineStr">
        <is>
          <t>Responsable de Producto y Desarrollo</t>
        </is>
      </c>
    </row>
    <row r="29" ht="44" customHeight="1">
      <c r="B29" s="13" t="inlineStr">
        <is>
          <t>3.</t>
        </is>
      </c>
      <c r="C29" s="40" t="inlineStr">
        <is>
          <t>Adelantar la revisión trimestral de la lista de precios, con el preaviso de 30 días que ya está comprometido con los clientes activos.</t>
        </is>
      </c>
      <c r="D29" s="40" t="inlineStr">
        <is>
          <t>Responsable Comercial y de Cuentas</t>
        </is>
      </c>
    </row>
  </sheetData>
  <mergeCells count="7">
    <mergeCell ref="C7:D7"/>
    <mergeCell ref="C16:D16"/>
    <mergeCell ref="C25:D25"/>
    <mergeCell ref="B2:H2"/>
    <mergeCell ref="B15:D15"/>
    <mergeCell ref="B6:D6"/>
    <mergeCell ref="B24:D24"/>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2026-09-17T15:16:11Z</dcterms:created>
  <dcterms:modified xmlns:dcterms="http://purl.org/dc/terms/" xmlns:xsi="http://www.w3.org/2001/XMLSchema-instance" xsi:type="dcterms:W3CDTF">2026-09-17T15:16:11Z</dcterms:modified>
</cp:coreProperties>
</file>